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it mishra\Downloads\"/>
    </mc:Choice>
  </mc:AlternateContent>
  <xr:revisionPtr revIDLastSave="0" documentId="8_{1F74C6F2-883D-4EFA-AEC5-4FFF940F907F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Trade Lifecycle Tracker" sheetId="1" r:id="rId1"/>
    <sheet name="Dashboard" sheetId="2" r:id="rId2"/>
    <sheet name="Stage Reference Guide" sheetId="3" r:id="rId3"/>
    <sheet name="Failure Scenario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2" l="1"/>
  <c r="C20" i="2"/>
  <c r="D20" i="2" s="1"/>
  <c r="C19" i="2"/>
  <c r="D19" i="2" s="1"/>
  <c r="C18" i="2"/>
  <c r="D18" i="2" s="1"/>
  <c r="C17" i="2"/>
  <c r="D17" i="2" s="1"/>
  <c r="C16" i="2"/>
  <c r="D16" i="2" s="1"/>
  <c r="C11" i="2"/>
  <c r="C10" i="2"/>
  <c r="C9" i="2"/>
  <c r="C12" i="2" s="1"/>
  <c r="E9" i="2" s="1"/>
  <c r="L5" i="2"/>
  <c r="J5" i="2"/>
  <c r="H5" i="2"/>
  <c r="F5" i="2"/>
  <c r="B5" i="2"/>
  <c r="H20" i="1"/>
  <c r="G20" i="1"/>
  <c r="K19" i="1"/>
  <c r="K18" i="1"/>
  <c r="K17" i="1"/>
  <c r="K16" i="1"/>
  <c r="D11" i="2" s="1"/>
  <c r="K15" i="1"/>
  <c r="K14" i="1"/>
  <c r="K13" i="1"/>
  <c r="K12" i="1"/>
  <c r="D10" i="2" s="1"/>
  <c r="K11" i="1"/>
  <c r="K10" i="1"/>
  <c r="K9" i="1"/>
  <c r="K8" i="1"/>
  <c r="K7" i="1"/>
  <c r="K6" i="1"/>
  <c r="K20" i="1" s="1"/>
  <c r="K5" i="1"/>
  <c r="E10" i="2" l="1"/>
  <c r="E11" i="2"/>
  <c r="E12" i="2"/>
  <c r="D9" i="2"/>
  <c r="D12" i="2" s="1"/>
</calcChain>
</file>

<file path=xl/sharedStrings.xml><?xml version="1.0" encoding="utf-8"?>
<sst xmlns="http://schemas.openxmlformats.org/spreadsheetml/2006/main" count="413" uniqueCount="293">
  <si>
    <t>TRADE LIFECYCLE TRACKER — IronHub Capital Operations</t>
  </si>
  <si>
    <t>Equities | Fixed Income | Derivatives  •  Simulated Portfolio — T+1 Settlement Simulation | India Markets</t>
  </si>
  <si>
    <t>STAGE PIPELINE:  T → Execution   S-1 → Capture   S-2 → Validation   S-3 → Enrichment   S-4 → Allocation   S-5 → Matching   S-6 → Clearing   S-7 → Settlement</t>
  </si>
  <si>
    <t>Trade ID</t>
  </si>
  <si>
    <t>Trade Date</t>
  </si>
  <si>
    <t>Asset Class</t>
  </si>
  <si>
    <t>Instrument</t>
  </si>
  <si>
    <t>ISIN</t>
  </si>
  <si>
    <t>Buy/Sell</t>
  </si>
  <si>
    <t>Qty (Our)</t>
  </si>
  <si>
    <t>Qty (CP)</t>
  </si>
  <si>
    <t>Price Our (₹)</t>
  </si>
  <si>
    <t>Price CP (₹)</t>
  </si>
  <si>
    <t>Gross Value (₹)</t>
  </si>
  <si>
    <t>Broker / CP</t>
  </si>
  <si>
    <t>Custodian</t>
  </si>
  <si>
    <t>Settlement Type</t>
  </si>
  <si>
    <t>Settlement Date</t>
  </si>
  <si>
    <t>Trade Time
(T)</t>
  </si>
  <si>
    <t>Capture Time
(S-1)</t>
  </si>
  <si>
    <t>Match Time
(S-5)</t>
  </si>
  <si>
    <t>Settlement Time
(S-7)</t>
  </si>
  <si>
    <t>Current Stage</t>
  </si>
  <si>
    <t>Lifecycle Status</t>
  </si>
  <si>
    <t>Failure Reason</t>
  </si>
  <si>
    <t>TRD-001</t>
  </si>
  <si>
    <t>03-Apr-2025</t>
  </si>
  <si>
    <t>Equity</t>
  </si>
  <si>
    <t>Reliance Industries Ltd</t>
  </si>
  <si>
    <t>INE002A01018</t>
  </si>
  <si>
    <t>BUY</t>
  </si>
  <si>
    <t>ICICI Securities</t>
  </si>
  <si>
    <t>HDFC Custody</t>
  </si>
  <si>
    <t>Rolling (T+1)</t>
  </si>
  <si>
    <t>04-Apr-2025</t>
  </si>
  <si>
    <t>09:15:22</t>
  </si>
  <si>
    <t>09:17:05</t>
  </si>
  <si>
    <t>09:45:18</t>
  </si>
  <si>
    <t>14:32:10</t>
  </si>
  <si>
    <t>S-7 Settlement</t>
  </si>
  <si>
    <t>Completed – Settled</t>
  </si>
  <si>
    <t>TRD-002</t>
  </si>
  <si>
    <t>Infosys Ltd</t>
  </si>
  <si>
    <t>INE009A01021</t>
  </si>
  <si>
    <t>SELL</t>
  </si>
  <si>
    <t>Zerodha</t>
  </si>
  <si>
    <t>Axis Custody</t>
  </si>
  <si>
    <t>09:16:40</t>
  </si>
  <si>
    <t>09:18:55</t>
  </si>
  <si>
    <t>S-5 Matching</t>
  </si>
  <si>
    <t>Break – Investigation</t>
  </si>
  <si>
    <t>Price mismatch: Our ₹1520.50 vs CP ₹1518.00 — Break raised on Omegeo CTM</t>
  </si>
  <si>
    <t>TRD-003</t>
  </si>
  <si>
    <t>Wipro Ltd</t>
  </si>
  <si>
    <t>INE075A01022</t>
  </si>
  <si>
    <t>Angel Broking</t>
  </si>
  <si>
    <t>Standard Chartered</t>
  </si>
  <si>
    <t>09:22:11</t>
  </si>
  <si>
    <t>09:24:30</t>
  </si>
  <si>
    <t>Qty mismatch: Our 400 vs CP 398 — partial fill not confirmed by broker</t>
  </si>
  <si>
    <t>TRD-004</t>
  </si>
  <si>
    <t>Asian Paints Ltd</t>
  </si>
  <si>
    <t>INE021A01999</t>
  </si>
  <si>
    <t>Macquarie India</t>
  </si>
  <si>
    <t>ICICI Custody</t>
  </si>
  <si>
    <t>09:28:05</t>
  </si>
  <si>
    <t>09:31:12</t>
  </si>
  <si>
    <t>S-2 Validation</t>
  </si>
  <si>
    <t>Invalid ISIN: INE021A01999 — correct ISIN is INE021A01026; trade failed validation</t>
  </si>
  <si>
    <t>TRD-005</t>
  </si>
  <si>
    <t>02-Apr-2025</t>
  </si>
  <si>
    <t>HDFC Bank Ltd</t>
  </si>
  <si>
    <t>INE040A01034</t>
  </si>
  <si>
    <t>Edelweiss</t>
  </si>
  <si>
    <t>Kotak Custody</t>
  </si>
  <si>
    <t>10:05:44</t>
  </si>
  <si>
    <t>10:07:20</t>
  </si>
  <si>
    <t>S-3 Enrichment</t>
  </si>
  <si>
    <t>Counterparty SSI not found: SSI-EDL-004 missing in static data; enrichment halted</t>
  </si>
  <si>
    <t>TRD-006</t>
  </si>
  <si>
    <t>01-Apr-2025</t>
  </si>
  <si>
    <t>Tata Consultancy Services</t>
  </si>
  <si>
    <t>INE467B01029</t>
  </si>
  <si>
    <t>Kotak Securities</t>
  </si>
  <si>
    <t>Citi Custody</t>
  </si>
  <si>
    <t>09:45:00</t>
  </si>
  <si>
    <t>09:46:55</t>
  </si>
  <si>
    <t>10:02:30</t>
  </si>
  <si>
    <t>Short delivery: Seller delivered 0 units; NSDL auction process triggered</t>
  </si>
  <si>
    <t>TRD-007</t>
  </si>
  <si>
    <t>Bajaj Finance Ltd</t>
  </si>
  <si>
    <t>INE296A01024</t>
  </si>
  <si>
    <t>CLSA India</t>
  </si>
  <si>
    <t>JP Morgan</t>
  </si>
  <si>
    <t>11:10:22</t>
  </si>
  <si>
    <t>11:12:08</t>
  </si>
  <si>
    <t>11:28:45</t>
  </si>
  <si>
    <t>Funding failure: CP flagged insufficient cash at custodian on settlement date; repair initiated</t>
  </si>
  <si>
    <t>TRD-008</t>
  </si>
  <si>
    <t>Fixed Income</t>
  </si>
  <si>
    <t>Govt of India 7.26% 2029 Bond</t>
  </si>
  <si>
    <t>IN0020210203</t>
  </si>
  <si>
    <t>Deutsche Custody</t>
  </si>
  <si>
    <t>T+1</t>
  </si>
  <si>
    <t>09:30:00</t>
  </si>
  <si>
    <t>09:32:15</t>
  </si>
  <si>
    <t>10:15:00</t>
  </si>
  <si>
    <t>S-6 Clearing</t>
  </si>
  <si>
    <t>In Progress</t>
  </si>
  <si>
    <t>TRD-009</t>
  </si>
  <si>
    <t>SBI Perpetual Bond 8.50%</t>
  </si>
  <si>
    <t>INE062A08209</t>
  </si>
  <si>
    <t>Nomura India</t>
  </si>
  <si>
    <t>HSBC Custody</t>
  </si>
  <si>
    <t>09:55:10</t>
  </si>
  <si>
    <t>09:57:22</t>
  </si>
  <si>
    <t>S-4 Allocation</t>
  </si>
  <si>
    <t>TRD-010</t>
  </si>
  <si>
    <t>31-Mar-2025</t>
  </si>
  <si>
    <t>NTPC Ltd NCD 7.15% 2027</t>
  </si>
  <si>
    <t>INE733E07BZ2</t>
  </si>
  <si>
    <t>IIFL Securities</t>
  </si>
  <si>
    <t>10:00:00</t>
  </si>
  <si>
    <t>10:01:45</t>
  </si>
  <si>
    <t>10:25:30</t>
  </si>
  <si>
    <t>14:10:00</t>
  </si>
  <si>
    <t>TRD-011</t>
  </si>
  <si>
    <t>Power Finance Corp Bond 7.8%</t>
  </si>
  <si>
    <t>INE134E08JL0</t>
  </si>
  <si>
    <t>Goldman Sachs</t>
  </si>
  <si>
    <t>10:16:30</t>
  </si>
  <si>
    <t>10:40:00</t>
  </si>
  <si>
    <t>Ready for Settlement</t>
  </si>
  <si>
    <t>TRD-012</t>
  </si>
  <si>
    <t>Derivatives</t>
  </si>
  <si>
    <t>Nifty 50 Futures Apr-2025</t>
  </si>
  <si>
    <t>N/A</t>
  </si>
  <si>
    <t>Sharekhan</t>
  </si>
  <si>
    <t>NSCCL</t>
  </si>
  <si>
    <t>T+0 (Daily)</t>
  </si>
  <si>
    <t>09:18:00</t>
  </si>
  <si>
    <t>09:18:45</t>
  </si>
  <si>
    <t>09:20:00</t>
  </si>
  <si>
    <t>12:30:00</t>
  </si>
  <si>
    <t>TRD-013</t>
  </si>
  <si>
    <t>USD/INR Currency Futures</t>
  </si>
  <si>
    <t>CCIL</t>
  </si>
  <si>
    <t>09:21:10</t>
  </si>
  <si>
    <t>09:22:30</t>
  </si>
  <si>
    <t>12:45:00</t>
  </si>
  <si>
    <t>TRD-014</t>
  </si>
  <si>
    <t>Bank Nifty Put Option 48000</t>
  </si>
  <si>
    <t>10:30:00</t>
  </si>
  <si>
    <t>10:30:55</t>
  </si>
  <si>
    <t>10:31:30</t>
  </si>
  <si>
    <t>14:00:00</t>
  </si>
  <si>
    <t>TRD-015</t>
  </si>
  <si>
    <t>Maruti Suzuki India Ltd</t>
  </si>
  <si>
    <t>INE585B01010</t>
  </si>
  <si>
    <t>SBI Securities</t>
  </si>
  <si>
    <t>BNY Mellon</t>
  </si>
  <si>
    <t>11:05:00</t>
  </si>
  <si>
    <t>11:06:30</t>
  </si>
  <si>
    <t>11:20:00</t>
  </si>
  <si>
    <t>Recon break: OMS qty 80, custody shows 75 — investigating corporate action impact</t>
  </si>
  <si>
    <t>TOTALS</t>
  </si>
  <si>
    <t>OPERATIONS DASHBOARD — Trade Lifecycle Summary</t>
  </si>
  <si>
    <t>Live metrics derived from Trade Lifecycle Tracker sheet  |  IronHub Capital  |  India Equities, Fixed Income &amp; Derivatives</t>
  </si>
  <si>
    <t>Total Trades</t>
  </si>
  <si>
    <t>Total Value (₹)</t>
  </si>
  <si>
    <t>Settled</t>
  </si>
  <si>
    <t>Break / Failed</t>
  </si>
  <si>
    <t>Pending Match</t>
  </si>
  <si>
    <t>Category</t>
  </si>
  <si>
    <t>Count</t>
  </si>
  <si>
    <t>% of Trades</t>
  </si>
  <si>
    <t>TOTAL</t>
  </si>
  <si>
    <t>SETTLEMENT STATUS BREAKDOWN</t>
  </si>
  <si>
    <t>Status</t>
  </si>
  <si>
    <t>% of Total</t>
  </si>
  <si>
    <t>Risk Flag</t>
  </si>
  <si>
    <t>✔ Clean</t>
  </si>
  <si>
    <t>⚠ Monitor</t>
  </si>
  <si>
    <t>✖ Urgent</t>
  </si>
  <si>
    <t>→ STP</t>
  </si>
  <si>
    <t>⚠ Chase CP</t>
  </si>
  <si>
    <t>TRADE LIFECYCLE — STAGE REFERENCE GUIDE</t>
  </si>
  <si>
    <t>Stage</t>
  </si>
  <si>
    <t>Stage Name</t>
  </si>
  <si>
    <t>Key Activity</t>
  </si>
  <si>
    <t>Systems Used</t>
  </si>
  <si>
    <t>Failure Points</t>
  </si>
  <si>
    <t>STP Check</t>
  </si>
  <si>
    <t>T</t>
  </si>
  <si>
    <t>Trade Execution</t>
  </si>
  <si>
    <t>PM/trader executes order on exchange or OTC; fill confirmed</t>
  </si>
  <si>
    <t>Exchange engine, DMA, Bloomberg EMSX</t>
  </si>
  <si>
    <t>Wrong instrument, wrong price, partial fill, latency</t>
  </si>
  <si>
    <t>Auto-confirm via FIX</t>
  </si>
  <si>
    <t>S-1</t>
  </si>
  <si>
    <t>Trade Capture</t>
  </si>
  <si>
    <t>Trade details entered / auto-booked into OMS (Trade ID generated)</t>
  </si>
  <si>
    <t>OMS (Bloomberg AIM, Charles River, Flextrade)</t>
  </si>
  <si>
    <t>Duplicate booking, wrong quantity, wrong account</t>
  </si>
  <si>
    <t>STP from execution feed</t>
  </si>
  <si>
    <t>S-2</t>
  </si>
  <si>
    <t>Validation</t>
  </si>
  <si>
    <t>System validates ISIN, LEI, SSI, counterparty static data</t>
  </si>
  <si>
    <t>Static data systems, Bloomberg Reference Data</t>
  </si>
  <si>
    <t>Invalid ISIN, missing LEI, stale SSI, unknown CP</t>
  </si>
  <si>
    <t>Auto-reject on failure</t>
  </si>
  <si>
    <t>S-3</t>
  </si>
  <si>
    <t>Enrichment</t>
  </si>
  <si>
    <t>Trade enriched with settlement details, custodian SSI, accrued interest (FI)</t>
  </si>
  <si>
    <t>Static data, in-house middleware, Broadridge</t>
  </si>
  <si>
    <t>Missing SSI, unknown custodian, enrichment timeout</t>
  </si>
  <si>
    <t>Auto-enrichment if SSI found</t>
  </si>
  <si>
    <t>S-4</t>
  </si>
  <si>
    <t>Allocation</t>
  </si>
  <si>
    <t>Block trade split across funds/accounts; allocation confirmed to prime broker</t>
  </si>
  <si>
    <t>OMS, SWIFT MT515, Omegeo CTM</t>
  </si>
  <si>
    <t>Late allocation, allocation sum ≠ block qty</t>
  </si>
  <si>
    <t>Auto-allocate if rules configured</t>
  </si>
  <si>
    <t>S-5</t>
  </si>
  <si>
    <t>Matching &amp; Affirmation</t>
  </si>
  <si>
    <t>Both counterparties compare and affirm trade details on CTM/DTCC</t>
  </si>
  <si>
    <t>Omegeo CTM, Markit Wire, DTCC TradeSuite</t>
  </si>
  <si>
    <t>Price/qty mismatch, late affirmation, wrong side</t>
  </si>
  <si>
    <t>Auto-match if details match</t>
  </si>
  <si>
    <t>S-6</t>
  </si>
  <si>
    <t>Clearing</t>
  </si>
  <si>
    <t>CCP novates; net obligations calculated; initial margin posted</t>
  </si>
  <si>
    <t>NSCCL, CCIL, DTCC, LCH</t>
  </si>
  <si>
    <t>Margin shortfall, CCP rejection, netting failure</t>
  </si>
  <si>
    <t>Auto-clear on CCP acceptance</t>
  </si>
  <si>
    <t>S-7</t>
  </si>
  <si>
    <t>Settlement</t>
  </si>
  <si>
    <t>DVP exchange of cash &amp; securities via depository / RTGS</t>
  </si>
  <si>
    <t>NSDL, CDSL, RTGS, SWIFT MT541/543</t>
  </si>
  <si>
    <t>Short delivery, funding failure, depot mismatch</t>
  </si>
  <si>
    <t>STP via SWIFT if SSI correct</t>
  </si>
  <si>
    <t>OPERATIONAL FAILURE SCENARIOS — Break Management Reference</t>
  </si>
  <si>
    <t>Real desk scenarios you must know for IB Operations interviews — each mapped to a lifecycle stage and resolution path</t>
  </si>
  <si>
    <t>#</t>
  </si>
  <si>
    <t>Failure Type</t>
  </si>
  <si>
    <t>Description</t>
  </si>
  <si>
    <t>Root Cause</t>
  </si>
  <si>
    <t>Resolution Steps</t>
  </si>
  <si>
    <t>Risk Level</t>
  </si>
  <si>
    <t>Price Mismatch</t>
  </si>
  <si>
    <t>Our price ₹1520.50 vs CP price ₹1518.00 — trade unmatched on Omegeo CTM</t>
  </si>
  <si>
    <t>Broker fat-finger or system rounding difference in price feed</t>
  </si>
  <si>
    <t>1. Identify discrepancy on CTM
2. Call/email broker middle office
3. Agree correct price
4. Amend and re-submit affirmation</t>
  </si>
  <si>
    <t>HIGH</t>
  </si>
  <si>
    <t>Quantity Mismatch</t>
  </si>
  <si>
    <t>Our qty 400 vs CP qty 398 — partial fill not captured on CP side</t>
  </si>
  <si>
    <t>Broker sent partial fill confirmation; full block not confirmed</t>
  </si>
  <si>
    <t>1. Pull execution report from broker
2. Check FIX drop copy
3. Confirm partial vs full fill
4. Re-allocate if needed</t>
  </si>
  <si>
    <t>Wrong ISIN</t>
  </si>
  <si>
    <t>ISIN INE021A01999 used — correct ISIN is INE021A01026 (Asian Paints)</t>
  </si>
  <si>
    <t>Ops keying error or stale security master — static data not updated</t>
  </si>
  <si>
    <t>1. Reject trade at validation
2. Correct ISIN in OMS
3. Amend booking
4. Update security master</t>
  </si>
  <si>
    <t>CRITICAL</t>
  </si>
  <si>
    <t>Counterparty / SSI Not Found</t>
  </si>
  <si>
    <t>SSI-EDL-004 missing from static data — enrichment halted at S-3</t>
  </si>
  <si>
    <t>New broker on-boarded without SSI loaded into settlement system</t>
  </si>
  <si>
    <t>1. Contact broker to obtain SSI details
2. Load SSI into static data
3. Re-run enrichment
4. Escalate if settlement date approaching</t>
  </si>
  <si>
    <t>Short Delivery</t>
  </si>
  <si>
    <t>Seller delivers 0 units on settlement date — buy-side receives nothing</t>
  </si>
  <si>
    <t>Seller had insufficient securities in depository account (NSDL/CDSL)</t>
  </si>
  <si>
    <t>1. NSDL triggers auction process
2. Claim penalty from defaulting seller
3. Buy-in at auction price
4. Notify client of delay</t>
  </si>
  <si>
    <t>Funding Failure (Cash)</t>
  </si>
  <si>
    <t>CP's custodian flags insufficient cash — DVP fails on settlement day</t>
  </si>
  <si>
    <t>CP did not fund their settlement account; treasury oversight failure</t>
  </si>
  <si>
    <t>1. Contact CP treasury immediately
2. Agree short extension if possible
3. Move to fail status
4. Calculate interest claim</t>
  </si>
  <si>
    <t>Late Affirmation</t>
  </si>
  <si>
    <t>Affirmation received after CTM cut-off — ineligible for STP clearing</t>
  </si>
  <si>
    <t>Buy-side PM did not approve allocation in time; manual intervention required</t>
  </si>
  <si>
    <t>1. Force-match with supervisor approval
2. Move to manual clearing track
3. Escalate PM tardiness
4. Review SLA</t>
  </si>
  <si>
    <t>MEDIUM</t>
  </si>
  <si>
    <t>Reconciliation Break — Position</t>
  </si>
  <si>
    <t>Post-Settlement</t>
  </si>
  <si>
    <t>OMS shows 80 units Maruti; custody statement shows 75 — 5 unit break</t>
  </si>
  <si>
    <t>Corporate action (stock split/bonus) not reflected in OMS; custody updated first</t>
  </si>
  <si>
    <t>1. Pull corporate action record
2. Manually adjust OMS position
3. Pass journal entry
4. Update recon system (TLM/Intellimatch)</t>
  </si>
  <si>
    <t>Margin Shortfall</t>
  </si>
  <si>
    <t>CCP rejects clearing due to insufficient initial margin posted for derivative</t>
  </si>
  <si>
    <t>MTM move overnight increased margin requirement; firm treasury not notified</t>
  </si>
  <si>
    <t>1. Urgent margin call to treasury
2. Post additional margin via RTGS
3. Confirm with NSCCL/CCIL
4. Review margin model thresholds</t>
  </si>
  <si>
    <t>SWIFT Instruction Failure</t>
  </si>
  <si>
    <t>MT541 rejected by custodian — missing mandatory field (LEI of counterparty)</t>
  </si>
  <si>
    <t>LEI not stored in settlement system for new counterparty</t>
  </si>
  <si>
    <t>1. Obtain LEI from GLEIF database
2. Update static data
3. Re-send corrected MT541
4. Confirm custodian acknowledgement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</si>
</sst>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26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C9A800"/>
      <name val="Arial"/>
      <charset val="1"/>
    </font>
    <font>
      <b/>
      <sz val="9"/>
      <color rgb="FFFFFFFF"/>
      <name val="Arial"/>
      <charset val="1"/>
    </font>
    <font>
      <sz val="9"/>
      <color rgb="FF2F2F2F"/>
      <name val="Arial"/>
      <charset val="1"/>
    </font>
    <font>
      <sz val="9"/>
      <color rgb="FF000000"/>
      <name val="Arial"/>
      <charset val="1"/>
    </font>
    <font>
      <i/>
      <sz val="9"/>
      <color rgb="FF1F5C8B"/>
      <name val="Arial"/>
      <charset val="1"/>
    </font>
    <font>
      <b/>
      <sz val="9"/>
      <color rgb="FF2F2F2F"/>
      <name val="Arial"/>
      <charset val="1"/>
    </font>
    <font>
      <sz val="8"/>
      <color rgb="FF2F2F2F"/>
      <name val="Arial"/>
      <charset val="1"/>
    </font>
    <font>
      <i/>
      <sz val="8"/>
      <color rgb="FFC00000"/>
      <name val="Arial"/>
      <charset val="1"/>
    </font>
    <font>
      <b/>
      <sz val="10"/>
      <color rgb="FFFFFFFF"/>
      <name val="Arial"/>
      <charset val="1"/>
    </font>
    <font>
      <b/>
      <sz val="9"/>
      <color rgb="FFC9A800"/>
      <name val="Arial"/>
      <charset val="1"/>
    </font>
    <font>
      <b/>
      <sz val="14"/>
      <color rgb="FFFFFFFF"/>
      <name val="Arial"/>
      <charset val="1"/>
    </font>
    <font>
      <i/>
      <sz val="9"/>
      <color rgb="FFC9A800"/>
      <name val="Arial"/>
      <charset val="1"/>
    </font>
    <font>
      <b/>
      <sz val="20"/>
      <color rgb="FF1F3864"/>
      <name val="Arial"/>
      <charset val="1"/>
    </font>
    <font>
      <b/>
      <sz val="20"/>
      <color rgb="FF1F6FB2"/>
      <name val="Arial"/>
      <charset val="1"/>
    </font>
    <font>
      <b/>
      <sz val="20"/>
      <color rgb="FF1E7145"/>
      <name val="Arial"/>
      <charset val="1"/>
    </font>
    <font>
      <b/>
      <sz val="20"/>
      <color rgb="FFC00000"/>
      <name val="Arial"/>
      <charset val="1"/>
    </font>
    <font>
      <b/>
      <sz val="20"/>
      <color rgb="FFFF8C00"/>
      <name val="Arial"/>
      <charset val="1"/>
    </font>
    <font>
      <b/>
      <sz val="20"/>
      <color rgb="FF555577"/>
      <name val="Arial"/>
      <charset val="1"/>
    </font>
    <font>
      <b/>
      <sz val="9"/>
      <color rgb="FF1E7145"/>
      <name val="Arial"/>
      <charset val="1"/>
    </font>
    <font>
      <b/>
      <sz val="9"/>
      <color rgb="FFFF8C00"/>
      <name val="Arial"/>
      <charset val="1"/>
    </font>
    <font>
      <b/>
      <sz val="9"/>
      <color rgb="FFC00000"/>
      <name val="Arial"/>
      <charset val="1"/>
    </font>
    <font>
      <b/>
      <sz val="9"/>
      <color rgb="FF1F6FB2"/>
      <name val="Arial"/>
      <charset val="1"/>
    </font>
    <font>
      <b/>
      <sz val="13"/>
      <color rgb="FFFFFFFF"/>
      <name val="Arial"/>
      <charset val="1"/>
    </font>
    <font>
      <i/>
      <sz val="9"/>
      <color rgb="FF2F2F2F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2F2F2"/>
        <bgColor rgb="FFDDEEFF"/>
      </patternFill>
    </fill>
    <fill>
      <patternFill patternType="solid">
        <fgColor rgb="FFDDEEFF"/>
        <bgColor rgb="FFF2F2F2"/>
      </patternFill>
    </fill>
    <fill>
      <patternFill patternType="solid">
        <fgColor rgb="FF1E7145"/>
        <bgColor rgb="FF3D6B35"/>
      </patternFill>
    </fill>
    <fill>
      <patternFill patternType="solid">
        <fgColor rgb="FFFFFFFF"/>
        <bgColor rgb="FFF2F2F2"/>
      </patternFill>
    </fill>
    <fill>
      <patternFill patternType="solid">
        <fgColor rgb="FFFF8C00"/>
        <bgColor rgb="FFFF6600"/>
      </patternFill>
    </fill>
    <fill>
      <patternFill patternType="solid">
        <fgColor rgb="FFFADADD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5C8A8A"/>
        <bgColor rgb="FF969696"/>
      </patternFill>
    </fill>
    <fill>
      <patternFill patternType="solid">
        <fgColor rgb="FF1F6FB2"/>
        <bgColor rgb="FF1F5C8B"/>
      </patternFill>
    </fill>
    <fill>
      <patternFill patternType="solid">
        <fgColor rgb="FF7B5EA7"/>
        <bgColor rgb="FF555577"/>
      </patternFill>
    </fill>
    <fill>
      <patternFill patternType="solid">
        <fgColor rgb="FF555577"/>
        <bgColor rgb="FF7B5EA7"/>
      </patternFill>
    </fill>
    <fill>
      <patternFill patternType="solid">
        <fgColor rgb="FF3D6B35"/>
        <bgColor rgb="FF1E7145"/>
      </patternFill>
    </fill>
    <fill>
      <patternFill patternType="solid">
        <fgColor rgb="FF2F2F2F"/>
        <bgColor rgb="FF333300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5" fillId="9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3" fontId="5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3" fontId="11" fillId="2" borderId="1" xfId="0" applyNumberFormat="1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164" fontId="15" fillId="7" borderId="2" xfId="0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BBBBB"/>
      <rgbColor rgb="FF5C8A8A"/>
      <rgbColor rgb="FF9999FF"/>
      <rgbColor rgb="FF555577"/>
      <rgbColor rgb="FFF2F2F2"/>
      <rgbColor rgb="FFDDEEFF"/>
      <rgbColor rgb="FF660066"/>
      <rgbColor rgb="FFFF8080"/>
      <rgbColor rgb="FF1F6FB2"/>
      <rgbColor rgb="FFCCCCFF"/>
      <rgbColor rgb="FF000080"/>
      <rgbColor rgb="FFFF00FF"/>
      <rgbColor rgb="FFFFFF00"/>
      <rgbColor rgb="FF00FFFF"/>
      <rgbColor rgb="FF800080"/>
      <rgbColor rgb="FF800000"/>
      <rgbColor rgb="FF1F5C8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ADD"/>
      <rgbColor rgb="FF3366FF"/>
      <rgbColor rgb="FF33CCCC"/>
      <rgbColor rgb="FFC9A800"/>
      <rgbColor rgb="FFFFCC00"/>
      <rgbColor rgb="FFFF8C00"/>
      <rgbColor rgb="FFFF6600"/>
      <rgbColor rgb="FF7B5EA7"/>
      <rgbColor rgb="FF969696"/>
      <rgbColor rgb="FF1F3864"/>
      <rgbColor rgb="FF3D6B35"/>
      <rgbColor rgb="FF003300"/>
      <rgbColor rgb="FF333300"/>
      <rgbColor rgb="FF993300"/>
      <rgbColor rgb="FF993366"/>
      <rgbColor rgb="FF2E4057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showGridLines="0" zoomScaleNormal="100" workbookViewId="0">
      <pane ySplit="4" topLeftCell="A14" activePane="bottomLeft" state="frozen"/>
      <selection activeCell="U1" sqref="U1"/>
      <selection pane="bottomLeft"/>
    </sheetView>
  </sheetViews>
  <sheetFormatPr defaultColWidth="8.77734375" defaultRowHeight="14.4" x14ac:dyDescent="0.3"/>
  <cols>
    <col min="1" max="1" width="11" customWidth="1"/>
    <col min="2" max="2" width="13" customWidth="1"/>
    <col min="3" max="3" width="14" customWidth="1"/>
    <col min="4" max="4" width="32" customWidth="1"/>
    <col min="5" max="5" width="17" customWidth="1"/>
    <col min="6" max="6" width="7.88671875" customWidth="1"/>
    <col min="7" max="8" width="9" customWidth="1"/>
    <col min="9" max="10" width="13" customWidth="1"/>
    <col min="11" max="11" width="14.88671875" customWidth="1"/>
    <col min="12" max="13" width="18" customWidth="1"/>
    <col min="14" max="15" width="14" customWidth="1"/>
    <col min="16" max="19" width="13" customWidth="1"/>
    <col min="20" max="20" width="18" customWidth="1"/>
    <col min="21" max="21" width="20" customWidth="1"/>
    <col min="22" max="22" width="48" customWidth="1"/>
  </cols>
  <sheetData>
    <row r="1" spans="1:22" ht="30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8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ht="21.75" customHeight="1" x14ac:dyDescent="0.3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ht="36" customHeight="1" x14ac:dyDescent="0.3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1" t="s">
        <v>14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19</v>
      </c>
      <c r="R4" s="11" t="s">
        <v>20</v>
      </c>
      <c r="S4" s="11" t="s">
        <v>21</v>
      </c>
      <c r="T4" s="11" t="s">
        <v>22</v>
      </c>
      <c r="U4" s="11" t="s">
        <v>23</v>
      </c>
      <c r="V4" s="11" t="s">
        <v>24</v>
      </c>
    </row>
    <row r="5" spans="1:22" ht="27.75" customHeight="1" x14ac:dyDescent="0.3">
      <c r="A5" s="12" t="s">
        <v>25</v>
      </c>
      <c r="B5" s="13" t="s">
        <v>26</v>
      </c>
      <c r="C5" s="13" t="s">
        <v>27</v>
      </c>
      <c r="D5" s="13" t="s">
        <v>28</v>
      </c>
      <c r="E5" s="13" t="s">
        <v>29</v>
      </c>
      <c r="F5" s="12" t="s">
        <v>30</v>
      </c>
      <c r="G5" s="13">
        <v>500</v>
      </c>
      <c r="H5" s="13">
        <v>500</v>
      </c>
      <c r="I5" s="13">
        <v>2850</v>
      </c>
      <c r="J5" s="13">
        <v>2850</v>
      </c>
      <c r="K5" s="14">
        <f t="shared" ref="K5:K19" si="0">G5*I5</f>
        <v>1425000</v>
      </c>
      <c r="L5" s="13" t="s">
        <v>31</v>
      </c>
      <c r="M5" s="13" t="s">
        <v>32</v>
      </c>
      <c r="N5" s="12" t="s">
        <v>33</v>
      </c>
      <c r="O5" s="12" t="s">
        <v>34</v>
      </c>
      <c r="P5" s="15" t="s">
        <v>35</v>
      </c>
      <c r="Q5" s="15" t="s">
        <v>36</v>
      </c>
      <c r="R5" s="15" t="s">
        <v>37</v>
      </c>
      <c r="S5" s="15" t="s">
        <v>38</v>
      </c>
      <c r="T5" s="16" t="s">
        <v>39</v>
      </c>
      <c r="U5" s="17" t="s">
        <v>40</v>
      </c>
      <c r="V5" s="18"/>
    </row>
    <row r="6" spans="1:22" ht="27.75" customHeight="1" x14ac:dyDescent="0.3">
      <c r="A6" s="19" t="s">
        <v>41</v>
      </c>
      <c r="B6" s="20" t="s">
        <v>26</v>
      </c>
      <c r="C6" s="20" t="s">
        <v>27</v>
      </c>
      <c r="D6" s="20" t="s">
        <v>42</v>
      </c>
      <c r="E6" s="20" t="s">
        <v>43</v>
      </c>
      <c r="F6" s="19" t="s">
        <v>44</v>
      </c>
      <c r="G6" s="20">
        <v>300</v>
      </c>
      <c r="H6" s="20">
        <v>300</v>
      </c>
      <c r="I6" s="20">
        <v>1520.5</v>
      </c>
      <c r="J6" s="20">
        <v>1518</v>
      </c>
      <c r="K6" s="21">
        <f t="shared" si="0"/>
        <v>456150</v>
      </c>
      <c r="L6" s="20" t="s">
        <v>45</v>
      </c>
      <c r="M6" s="20" t="s">
        <v>46</v>
      </c>
      <c r="N6" s="19" t="s">
        <v>33</v>
      </c>
      <c r="O6" s="19" t="s">
        <v>34</v>
      </c>
      <c r="P6" s="15" t="s">
        <v>47</v>
      </c>
      <c r="Q6" s="15" t="s">
        <v>48</v>
      </c>
      <c r="R6" s="22"/>
      <c r="S6" s="22"/>
      <c r="T6" s="23" t="s">
        <v>49</v>
      </c>
      <c r="U6" s="24" t="s">
        <v>50</v>
      </c>
      <c r="V6" s="25" t="s">
        <v>51</v>
      </c>
    </row>
    <row r="7" spans="1:22" ht="27.75" customHeight="1" x14ac:dyDescent="0.3">
      <c r="A7" s="12" t="s">
        <v>52</v>
      </c>
      <c r="B7" s="13" t="s">
        <v>26</v>
      </c>
      <c r="C7" s="13" t="s">
        <v>27</v>
      </c>
      <c r="D7" s="13" t="s">
        <v>53</v>
      </c>
      <c r="E7" s="13" t="s">
        <v>54</v>
      </c>
      <c r="F7" s="12" t="s">
        <v>30</v>
      </c>
      <c r="G7" s="13">
        <v>400</v>
      </c>
      <c r="H7" s="13">
        <v>398</v>
      </c>
      <c r="I7" s="13">
        <v>475.25</v>
      </c>
      <c r="J7" s="13">
        <v>475.25</v>
      </c>
      <c r="K7" s="14">
        <f t="shared" si="0"/>
        <v>190100</v>
      </c>
      <c r="L7" s="13" t="s">
        <v>55</v>
      </c>
      <c r="M7" s="13" t="s">
        <v>56</v>
      </c>
      <c r="N7" s="12" t="s">
        <v>33</v>
      </c>
      <c r="O7" s="12" t="s">
        <v>34</v>
      </c>
      <c r="P7" s="15" t="s">
        <v>57</v>
      </c>
      <c r="Q7" s="15" t="s">
        <v>58</v>
      </c>
      <c r="R7" s="26"/>
      <c r="S7" s="26"/>
      <c r="T7" s="23" t="s">
        <v>49</v>
      </c>
      <c r="U7" s="17" t="s">
        <v>50</v>
      </c>
      <c r="V7" s="25" t="s">
        <v>59</v>
      </c>
    </row>
    <row r="8" spans="1:22" ht="27.75" customHeight="1" x14ac:dyDescent="0.3">
      <c r="A8" s="19" t="s">
        <v>60</v>
      </c>
      <c r="B8" s="20" t="s">
        <v>26</v>
      </c>
      <c r="C8" s="20" t="s">
        <v>27</v>
      </c>
      <c r="D8" s="20" t="s">
        <v>61</v>
      </c>
      <c r="E8" s="20" t="s">
        <v>62</v>
      </c>
      <c r="F8" s="19" t="s">
        <v>44</v>
      </c>
      <c r="G8" s="20">
        <v>120</v>
      </c>
      <c r="H8" s="20">
        <v>120</v>
      </c>
      <c r="I8" s="20">
        <v>2890</v>
      </c>
      <c r="J8" s="20">
        <v>2890</v>
      </c>
      <c r="K8" s="21">
        <f t="shared" si="0"/>
        <v>346800</v>
      </c>
      <c r="L8" s="20" t="s">
        <v>63</v>
      </c>
      <c r="M8" s="20" t="s">
        <v>64</v>
      </c>
      <c r="N8" s="19" t="s">
        <v>33</v>
      </c>
      <c r="O8" s="19" t="s">
        <v>34</v>
      </c>
      <c r="P8" s="15" t="s">
        <v>65</v>
      </c>
      <c r="Q8" s="15" t="s">
        <v>66</v>
      </c>
      <c r="R8" s="22"/>
      <c r="S8" s="22"/>
      <c r="T8" s="27" t="s">
        <v>67</v>
      </c>
      <c r="U8" s="24" t="s">
        <v>50</v>
      </c>
      <c r="V8" s="25" t="s">
        <v>68</v>
      </c>
    </row>
    <row r="9" spans="1:22" ht="27.75" customHeight="1" x14ac:dyDescent="0.3">
      <c r="A9" s="12" t="s">
        <v>69</v>
      </c>
      <c r="B9" s="13" t="s">
        <v>70</v>
      </c>
      <c r="C9" s="13" t="s">
        <v>27</v>
      </c>
      <c r="D9" s="13" t="s">
        <v>71</v>
      </c>
      <c r="E9" s="13" t="s">
        <v>72</v>
      </c>
      <c r="F9" s="12" t="s">
        <v>30</v>
      </c>
      <c r="G9" s="13">
        <v>200</v>
      </c>
      <c r="H9" s="13">
        <v>200</v>
      </c>
      <c r="I9" s="13">
        <v>1675</v>
      </c>
      <c r="J9" s="13">
        <v>1675</v>
      </c>
      <c r="K9" s="14">
        <f t="shared" si="0"/>
        <v>335000</v>
      </c>
      <c r="L9" s="13" t="s">
        <v>73</v>
      </c>
      <c r="M9" s="13" t="s">
        <v>74</v>
      </c>
      <c r="N9" s="12" t="s">
        <v>33</v>
      </c>
      <c r="O9" s="12" t="s">
        <v>26</v>
      </c>
      <c r="P9" s="15" t="s">
        <v>75</v>
      </c>
      <c r="Q9" s="15" t="s">
        <v>76</v>
      </c>
      <c r="R9" s="26"/>
      <c r="S9" s="26"/>
      <c r="T9" s="28" t="s">
        <v>77</v>
      </c>
      <c r="U9" s="17" t="s">
        <v>50</v>
      </c>
      <c r="V9" s="25" t="s">
        <v>78</v>
      </c>
    </row>
    <row r="10" spans="1:22" ht="27.75" customHeight="1" x14ac:dyDescent="0.3">
      <c r="A10" s="19" t="s">
        <v>79</v>
      </c>
      <c r="B10" s="20" t="s">
        <v>80</v>
      </c>
      <c r="C10" s="20" t="s">
        <v>27</v>
      </c>
      <c r="D10" s="20" t="s">
        <v>81</v>
      </c>
      <c r="E10" s="20" t="s">
        <v>82</v>
      </c>
      <c r="F10" s="19" t="s">
        <v>30</v>
      </c>
      <c r="G10" s="20">
        <v>150</v>
      </c>
      <c r="H10" s="20">
        <v>150</v>
      </c>
      <c r="I10" s="20">
        <v>3920</v>
      </c>
      <c r="J10" s="20">
        <v>3920</v>
      </c>
      <c r="K10" s="21">
        <f t="shared" si="0"/>
        <v>588000</v>
      </c>
      <c r="L10" s="20" t="s">
        <v>83</v>
      </c>
      <c r="M10" s="20" t="s">
        <v>84</v>
      </c>
      <c r="N10" s="19" t="s">
        <v>33</v>
      </c>
      <c r="O10" s="19" t="s">
        <v>70</v>
      </c>
      <c r="P10" s="15" t="s">
        <v>85</v>
      </c>
      <c r="Q10" s="15" t="s">
        <v>86</v>
      </c>
      <c r="R10" s="15" t="s">
        <v>87</v>
      </c>
      <c r="S10" s="22"/>
      <c r="T10" s="16" t="s">
        <v>39</v>
      </c>
      <c r="U10" s="24" t="s">
        <v>50</v>
      </c>
      <c r="V10" s="25" t="s">
        <v>88</v>
      </c>
    </row>
    <row r="11" spans="1:22" ht="27.75" customHeight="1" x14ac:dyDescent="0.3">
      <c r="A11" s="12" t="s">
        <v>89</v>
      </c>
      <c r="B11" s="13" t="s">
        <v>80</v>
      </c>
      <c r="C11" s="13" t="s">
        <v>27</v>
      </c>
      <c r="D11" s="13" t="s">
        <v>90</v>
      </c>
      <c r="E11" s="13" t="s">
        <v>91</v>
      </c>
      <c r="F11" s="12" t="s">
        <v>30</v>
      </c>
      <c r="G11" s="13">
        <v>60</v>
      </c>
      <c r="H11" s="13">
        <v>60</v>
      </c>
      <c r="I11" s="13">
        <v>7125</v>
      </c>
      <c r="J11" s="13">
        <v>7125</v>
      </c>
      <c r="K11" s="14">
        <f t="shared" si="0"/>
        <v>427500</v>
      </c>
      <c r="L11" s="13" t="s">
        <v>92</v>
      </c>
      <c r="M11" s="13" t="s">
        <v>93</v>
      </c>
      <c r="N11" s="12" t="s">
        <v>33</v>
      </c>
      <c r="O11" s="12" t="s">
        <v>70</v>
      </c>
      <c r="P11" s="15" t="s">
        <v>94</v>
      </c>
      <c r="Q11" s="15" t="s">
        <v>95</v>
      </c>
      <c r="R11" s="15" t="s">
        <v>96</v>
      </c>
      <c r="S11" s="26"/>
      <c r="T11" s="16" t="s">
        <v>39</v>
      </c>
      <c r="U11" s="17" t="s">
        <v>50</v>
      </c>
      <c r="V11" s="25" t="s">
        <v>97</v>
      </c>
    </row>
    <row r="12" spans="1:22" ht="27.75" customHeight="1" x14ac:dyDescent="0.3">
      <c r="A12" s="19" t="s">
        <v>98</v>
      </c>
      <c r="B12" s="20" t="s">
        <v>26</v>
      </c>
      <c r="C12" s="20" t="s">
        <v>99</v>
      </c>
      <c r="D12" s="20" t="s">
        <v>100</v>
      </c>
      <c r="E12" s="20" t="s">
        <v>101</v>
      </c>
      <c r="F12" s="19" t="s">
        <v>30</v>
      </c>
      <c r="G12" s="20">
        <v>100</v>
      </c>
      <c r="H12" s="20">
        <v>100</v>
      </c>
      <c r="I12" s="20">
        <v>10250</v>
      </c>
      <c r="J12" s="20">
        <v>10250</v>
      </c>
      <c r="K12" s="21">
        <f t="shared" si="0"/>
        <v>1025000</v>
      </c>
      <c r="L12" s="20" t="s">
        <v>31</v>
      </c>
      <c r="M12" s="20" t="s">
        <v>102</v>
      </c>
      <c r="N12" s="19" t="s">
        <v>103</v>
      </c>
      <c r="O12" s="19" t="s">
        <v>34</v>
      </c>
      <c r="P12" s="15" t="s">
        <v>104</v>
      </c>
      <c r="Q12" s="15" t="s">
        <v>105</v>
      </c>
      <c r="R12" s="15" t="s">
        <v>106</v>
      </c>
      <c r="S12" s="22"/>
      <c r="T12" s="29" t="s">
        <v>107</v>
      </c>
      <c r="U12" s="24" t="s">
        <v>108</v>
      </c>
      <c r="V12" s="25"/>
    </row>
    <row r="13" spans="1:22" ht="27.75" customHeight="1" x14ac:dyDescent="0.3">
      <c r="A13" s="12" t="s">
        <v>109</v>
      </c>
      <c r="B13" s="13" t="s">
        <v>26</v>
      </c>
      <c r="C13" s="13" t="s">
        <v>99</v>
      </c>
      <c r="D13" s="13" t="s">
        <v>110</v>
      </c>
      <c r="E13" s="13" t="s">
        <v>111</v>
      </c>
      <c r="F13" s="12" t="s">
        <v>44</v>
      </c>
      <c r="G13" s="13">
        <v>50</v>
      </c>
      <c r="H13" s="13">
        <v>50</v>
      </c>
      <c r="I13" s="13">
        <v>99500</v>
      </c>
      <c r="J13" s="13">
        <v>99500</v>
      </c>
      <c r="K13" s="14">
        <f t="shared" si="0"/>
        <v>4975000</v>
      </c>
      <c r="L13" s="13" t="s">
        <v>112</v>
      </c>
      <c r="M13" s="13" t="s">
        <v>113</v>
      </c>
      <c r="N13" s="12" t="s">
        <v>103</v>
      </c>
      <c r="O13" s="12" t="s">
        <v>34</v>
      </c>
      <c r="P13" s="15" t="s">
        <v>114</v>
      </c>
      <c r="Q13" s="15" t="s">
        <v>115</v>
      </c>
      <c r="R13" s="26"/>
      <c r="S13" s="26"/>
      <c r="T13" s="30" t="s">
        <v>116</v>
      </c>
      <c r="U13" s="17" t="s">
        <v>108</v>
      </c>
      <c r="V13" s="25"/>
    </row>
    <row r="14" spans="1:22" ht="27.75" customHeight="1" x14ac:dyDescent="0.3">
      <c r="A14" s="19" t="s">
        <v>117</v>
      </c>
      <c r="B14" s="20" t="s">
        <v>118</v>
      </c>
      <c r="C14" s="20" t="s">
        <v>99</v>
      </c>
      <c r="D14" s="20" t="s">
        <v>119</v>
      </c>
      <c r="E14" s="20" t="s">
        <v>120</v>
      </c>
      <c r="F14" s="19" t="s">
        <v>30</v>
      </c>
      <c r="G14" s="20">
        <v>25</v>
      </c>
      <c r="H14" s="20">
        <v>25</v>
      </c>
      <c r="I14" s="20">
        <v>100250</v>
      </c>
      <c r="J14" s="20">
        <v>100250</v>
      </c>
      <c r="K14" s="21">
        <f t="shared" si="0"/>
        <v>2506250</v>
      </c>
      <c r="L14" s="20" t="s">
        <v>121</v>
      </c>
      <c r="M14" s="20" t="s">
        <v>46</v>
      </c>
      <c r="N14" s="19" t="s">
        <v>103</v>
      </c>
      <c r="O14" s="19" t="s">
        <v>80</v>
      </c>
      <c r="P14" s="15" t="s">
        <v>122</v>
      </c>
      <c r="Q14" s="15" t="s">
        <v>123</v>
      </c>
      <c r="R14" s="15" t="s">
        <v>124</v>
      </c>
      <c r="S14" s="15" t="s">
        <v>125</v>
      </c>
      <c r="T14" s="16" t="s">
        <v>39</v>
      </c>
      <c r="U14" s="24" t="s">
        <v>40</v>
      </c>
      <c r="V14" s="25"/>
    </row>
    <row r="15" spans="1:22" ht="27.75" customHeight="1" x14ac:dyDescent="0.3">
      <c r="A15" s="12" t="s">
        <v>126</v>
      </c>
      <c r="B15" s="13" t="s">
        <v>26</v>
      </c>
      <c r="C15" s="13" t="s">
        <v>99</v>
      </c>
      <c r="D15" s="13" t="s">
        <v>127</v>
      </c>
      <c r="E15" s="13" t="s">
        <v>128</v>
      </c>
      <c r="F15" s="12" t="s">
        <v>44</v>
      </c>
      <c r="G15" s="13">
        <v>30</v>
      </c>
      <c r="H15" s="13">
        <v>30</v>
      </c>
      <c r="I15" s="13">
        <v>101200</v>
      </c>
      <c r="J15" s="13">
        <v>101200</v>
      </c>
      <c r="K15" s="14">
        <f t="shared" si="0"/>
        <v>3036000</v>
      </c>
      <c r="L15" s="13" t="s">
        <v>129</v>
      </c>
      <c r="M15" s="13" t="s">
        <v>102</v>
      </c>
      <c r="N15" s="12" t="s">
        <v>103</v>
      </c>
      <c r="O15" s="12" t="s">
        <v>34</v>
      </c>
      <c r="P15" s="15" t="s">
        <v>106</v>
      </c>
      <c r="Q15" s="15" t="s">
        <v>130</v>
      </c>
      <c r="R15" s="15" t="s">
        <v>131</v>
      </c>
      <c r="S15" s="26"/>
      <c r="T15" s="29" t="s">
        <v>107</v>
      </c>
      <c r="U15" s="17" t="s">
        <v>132</v>
      </c>
      <c r="V15" s="25"/>
    </row>
    <row r="16" spans="1:22" ht="27.75" customHeight="1" x14ac:dyDescent="0.3">
      <c r="A16" s="19" t="s">
        <v>133</v>
      </c>
      <c r="B16" s="20" t="s">
        <v>26</v>
      </c>
      <c r="C16" s="20" t="s">
        <v>134</v>
      </c>
      <c r="D16" s="20" t="s">
        <v>135</v>
      </c>
      <c r="E16" s="20" t="s">
        <v>136</v>
      </c>
      <c r="F16" s="19" t="s">
        <v>44</v>
      </c>
      <c r="G16" s="20">
        <v>50</v>
      </c>
      <c r="H16" s="20">
        <v>50</v>
      </c>
      <c r="I16" s="20">
        <v>22150</v>
      </c>
      <c r="J16" s="20">
        <v>22150</v>
      </c>
      <c r="K16" s="21">
        <f t="shared" si="0"/>
        <v>1107500</v>
      </c>
      <c r="L16" s="20" t="s">
        <v>137</v>
      </c>
      <c r="M16" s="20" t="s">
        <v>138</v>
      </c>
      <c r="N16" s="19" t="s">
        <v>139</v>
      </c>
      <c r="O16" s="19" t="s">
        <v>26</v>
      </c>
      <c r="P16" s="15" t="s">
        <v>140</v>
      </c>
      <c r="Q16" s="15" t="s">
        <v>141</v>
      </c>
      <c r="R16" s="15" t="s">
        <v>142</v>
      </c>
      <c r="S16" s="15" t="s">
        <v>143</v>
      </c>
      <c r="T16" s="16" t="s">
        <v>39</v>
      </c>
      <c r="U16" s="24" t="s">
        <v>40</v>
      </c>
      <c r="V16" s="25"/>
    </row>
    <row r="17" spans="1:22" ht="27.75" customHeight="1" x14ac:dyDescent="0.3">
      <c r="A17" s="12" t="s">
        <v>144</v>
      </c>
      <c r="B17" s="13" t="s">
        <v>26</v>
      </c>
      <c r="C17" s="13" t="s">
        <v>134</v>
      </c>
      <c r="D17" s="13" t="s">
        <v>145</v>
      </c>
      <c r="E17" s="13" t="s">
        <v>136</v>
      </c>
      <c r="F17" s="12" t="s">
        <v>30</v>
      </c>
      <c r="G17" s="13">
        <v>200</v>
      </c>
      <c r="H17" s="13">
        <v>200</v>
      </c>
      <c r="I17" s="13">
        <v>83.42</v>
      </c>
      <c r="J17" s="13">
        <v>83.42</v>
      </c>
      <c r="K17" s="14">
        <f t="shared" si="0"/>
        <v>16684</v>
      </c>
      <c r="L17" s="13" t="s">
        <v>31</v>
      </c>
      <c r="M17" s="13" t="s">
        <v>146</v>
      </c>
      <c r="N17" s="12" t="s">
        <v>139</v>
      </c>
      <c r="O17" s="12" t="s">
        <v>26</v>
      </c>
      <c r="P17" s="15" t="s">
        <v>142</v>
      </c>
      <c r="Q17" s="15" t="s">
        <v>147</v>
      </c>
      <c r="R17" s="15" t="s">
        <v>148</v>
      </c>
      <c r="S17" s="15" t="s">
        <v>149</v>
      </c>
      <c r="T17" s="16" t="s">
        <v>39</v>
      </c>
      <c r="U17" s="17" t="s">
        <v>40</v>
      </c>
      <c r="V17" s="25"/>
    </row>
    <row r="18" spans="1:22" ht="27.75" customHeight="1" x14ac:dyDescent="0.3">
      <c r="A18" s="19" t="s">
        <v>150</v>
      </c>
      <c r="B18" s="20" t="s">
        <v>70</v>
      </c>
      <c r="C18" s="20" t="s">
        <v>134</v>
      </c>
      <c r="D18" s="20" t="s">
        <v>151</v>
      </c>
      <c r="E18" s="20" t="s">
        <v>136</v>
      </c>
      <c r="F18" s="19" t="s">
        <v>30</v>
      </c>
      <c r="G18" s="20">
        <v>10</v>
      </c>
      <c r="H18" s="20">
        <v>10</v>
      </c>
      <c r="I18" s="20">
        <v>185</v>
      </c>
      <c r="J18" s="20">
        <v>185</v>
      </c>
      <c r="K18" s="21">
        <f t="shared" si="0"/>
        <v>1850</v>
      </c>
      <c r="L18" s="20" t="s">
        <v>45</v>
      </c>
      <c r="M18" s="20" t="s">
        <v>138</v>
      </c>
      <c r="N18" s="19" t="s">
        <v>139</v>
      </c>
      <c r="O18" s="19" t="s">
        <v>70</v>
      </c>
      <c r="P18" s="15" t="s">
        <v>152</v>
      </c>
      <c r="Q18" s="15" t="s">
        <v>153</v>
      </c>
      <c r="R18" s="15" t="s">
        <v>154</v>
      </c>
      <c r="S18" s="15" t="s">
        <v>155</v>
      </c>
      <c r="T18" s="16" t="s">
        <v>39</v>
      </c>
      <c r="U18" s="24" t="s">
        <v>40</v>
      </c>
      <c r="V18" s="25"/>
    </row>
    <row r="19" spans="1:22" ht="27.75" customHeight="1" x14ac:dyDescent="0.3">
      <c r="A19" s="12" t="s">
        <v>156</v>
      </c>
      <c r="B19" s="13" t="s">
        <v>70</v>
      </c>
      <c r="C19" s="13" t="s">
        <v>27</v>
      </c>
      <c r="D19" s="13" t="s">
        <v>157</v>
      </c>
      <c r="E19" s="13" t="s">
        <v>158</v>
      </c>
      <c r="F19" s="12" t="s">
        <v>44</v>
      </c>
      <c r="G19" s="13">
        <v>80</v>
      </c>
      <c r="H19" s="13">
        <v>80</v>
      </c>
      <c r="I19" s="13">
        <v>12340</v>
      </c>
      <c r="J19" s="13">
        <v>12340</v>
      </c>
      <c r="K19" s="14">
        <f t="shared" si="0"/>
        <v>987200</v>
      </c>
      <c r="L19" s="13" t="s">
        <v>159</v>
      </c>
      <c r="M19" s="13" t="s">
        <v>160</v>
      </c>
      <c r="N19" s="12" t="s">
        <v>33</v>
      </c>
      <c r="O19" s="12" t="s">
        <v>26</v>
      </c>
      <c r="P19" s="15" t="s">
        <v>161</v>
      </c>
      <c r="Q19" s="15" t="s">
        <v>162</v>
      </c>
      <c r="R19" s="15" t="s">
        <v>163</v>
      </c>
      <c r="S19" s="26"/>
      <c r="T19" s="23" t="s">
        <v>49</v>
      </c>
      <c r="U19" s="17" t="s">
        <v>50</v>
      </c>
      <c r="V19" s="25" t="s">
        <v>164</v>
      </c>
    </row>
    <row r="20" spans="1:22" ht="19.5" customHeight="1" x14ac:dyDescent="0.3">
      <c r="A20" s="7" t="s">
        <v>165</v>
      </c>
      <c r="B20" s="7"/>
      <c r="C20" s="7"/>
      <c r="D20" s="7"/>
      <c r="E20" s="7"/>
      <c r="F20" s="7"/>
      <c r="G20" s="31">
        <f>SUM(G5:G19)</f>
        <v>2275</v>
      </c>
      <c r="H20" s="31">
        <f>SUM(H5:H19)</f>
        <v>2273</v>
      </c>
      <c r="I20" s="32"/>
      <c r="J20" s="32"/>
      <c r="K20" s="33">
        <f>SUM(K5:K19)</f>
        <v>17424034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</row>
  </sheetData>
  <mergeCells count="4">
    <mergeCell ref="A1:V1"/>
    <mergeCell ref="A2:V2"/>
    <mergeCell ref="A3:V3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showGridLines="0" tabSelected="1" zoomScaleNormal="100" workbookViewId="0">
      <selection activeCell="Q13" sqref="Q13"/>
    </sheetView>
  </sheetViews>
  <sheetFormatPr defaultColWidth="8.77734375" defaultRowHeight="14.4" x14ac:dyDescent="0.3"/>
  <cols>
    <col min="1" max="1" width="3" customWidth="1"/>
    <col min="2" max="2" width="20" customWidth="1"/>
    <col min="3" max="3" width="12" customWidth="1"/>
    <col min="4" max="4" width="22.77734375" customWidth="1"/>
    <col min="5" max="5" width="14" customWidth="1"/>
    <col min="6" max="6" width="12" customWidth="1"/>
    <col min="7" max="7" width="3" customWidth="1"/>
    <col min="8" max="8" width="12.88671875" customWidth="1"/>
    <col min="9" max="9" width="3" customWidth="1"/>
    <col min="10" max="10" width="17.6640625" customWidth="1"/>
    <col min="11" max="11" width="3" customWidth="1"/>
    <col min="12" max="12" width="16.5546875" customWidth="1"/>
    <col min="13" max="14" width="3" customWidth="1"/>
  </cols>
  <sheetData>
    <row r="1" spans="1:14" ht="17.399999999999999" x14ac:dyDescent="0.3">
      <c r="A1" s="6" t="s">
        <v>166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5" t="s">
        <v>167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x14ac:dyDescent="0.3">
      <c r="B4" s="31" t="s">
        <v>168</v>
      </c>
      <c r="D4" s="34" t="s">
        <v>169</v>
      </c>
      <c r="F4" s="35" t="s">
        <v>170</v>
      </c>
      <c r="H4" s="36" t="s">
        <v>171</v>
      </c>
      <c r="J4" s="37" t="s">
        <v>172</v>
      </c>
      <c r="L4" s="38" t="s">
        <v>108</v>
      </c>
    </row>
    <row r="5" spans="1:14" ht="24.6" x14ac:dyDescent="0.3">
      <c r="B5" s="39">
        <f>COUNTA('Trade Lifecycle Tracker'!A5:A19)</f>
        <v>15</v>
      </c>
      <c r="D5" s="40">
        <f>SUM('Trade Lifecycle Tracker'!K5:K19)</f>
        <v>17424034</v>
      </c>
      <c r="F5" s="41">
        <f>COUNTIF('Trade Lifecycle Tracker'!U5:U19,"Completed – Settled")</f>
        <v>5</v>
      </c>
      <c r="H5" s="42">
        <f>COUNTIF('Trade Lifecycle Tracker'!U5:U19,"Break – Investigation")</f>
        <v>7</v>
      </c>
      <c r="J5" s="43">
        <f>COUNTIF('Trade Lifecycle Tracker'!U5:U19,"Pending Match")</f>
        <v>0</v>
      </c>
      <c r="L5" s="44">
        <f>COUNTIF('Trade Lifecycle Tracker'!U5:U19,"In Progress")</f>
        <v>2</v>
      </c>
    </row>
    <row r="8" spans="1:14" x14ac:dyDescent="0.3">
      <c r="B8" s="45" t="s">
        <v>173</v>
      </c>
      <c r="C8" s="45" t="s">
        <v>174</v>
      </c>
      <c r="D8" s="45" t="s">
        <v>13</v>
      </c>
      <c r="E8" s="45" t="s">
        <v>175</v>
      </c>
    </row>
    <row r="9" spans="1:14" x14ac:dyDescent="0.3">
      <c r="B9" s="13" t="s">
        <v>27</v>
      </c>
      <c r="C9" s="12">
        <f>COUNTIF('Trade Lifecycle Tracker'!C5:C19,"Equity")</f>
        <v>8</v>
      </c>
      <c r="D9" s="46">
        <f>SUMIF('Trade Lifecycle Tracker'!C5:C19,"Equity",'Trade Lifecycle Tracker'!K5:K19)</f>
        <v>4755750</v>
      </c>
      <c r="E9" s="47">
        <f>C9/$C$12</f>
        <v>0.53333333333333333</v>
      </c>
    </row>
    <row r="10" spans="1:14" x14ac:dyDescent="0.3">
      <c r="B10" s="20" t="s">
        <v>99</v>
      </c>
      <c r="C10" s="19">
        <f>COUNTIF('Trade Lifecycle Tracker'!C5:C19,"Fixed Income")</f>
        <v>4</v>
      </c>
      <c r="D10" s="48">
        <f>SUMIF('Trade Lifecycle Tracker'!C5:C19,"Fixed Income",'Trade Lifecycle Tracker'!K5:K19)</f>
        <v>11542250</v>
      </c>
      <c r="E10" s="49">
        <f>C10/$C$12</f>
        <v>0.26666666666666666</v>
      </c>
    </row>
    <row r="11" spans="1:14" x14ac:dyDescent="0.3">
      <c r="B11" s="13" t="s">
        <v>134</v>
      </c>
      <c r="C11" s="12">
        <f>COUNTIF('Trade Lifecycle Tracker'!C5:C19,"Derivatives")</f>
        <v>3</v>
      </c>
      <c r="D11" s="46">
        <f>SUMIF('Trade Lifecycle Tracker'!C5:C19,"Derivatives",'Trade Lifecycle Tracker'!K5:K19)</f>
        <v>1126034</v>
      </c>
      <c r="E11" s="47">
        <f>C11/$C$12</f>
        <v>0.2</v>
      </c>
    </row>
    <row r="12" spans="1:14" x14ac:dyDescent="0.3">
      <c r="B12" s="31" t="s">
        <v>176</v>
      </c>
      <c r="C12" s="31">
        <f>SUM(C9:C11)</f>
        <v>15</v>
      </c>
      <c r="D12" s="50">
        <f>SUM(D9:D11)</f>
        <v>17424034</v>
      </c>
      <c r="E12" s="51">
        <f>SUM(E9:E11)</f>
        <v>1</v>
      </c>
    </row>
    <row r="14" spans="1:14" x14ac:dyDescent="0.3">
      <c r="B14" s="4" t="s">
        <v>177</v>
      </c>
      <c r="C14" s="4"/>
      <c r="D14" s="4"/>
      <c r="E14" s="4"/>
    </row>
    <row r="15" spans="1:14" x14ac:dyDescent="0.3">
      <c r="B15" s="52" t="s">
        <v>178</v>
      </c>
      <c r="C15" s="52" t="s">
        <v>174</v>
      </c>
      <c r="D15" s="52" t="s">
        <v>179</v>
      </c>
      <c r="E15" s="52" t="s">
        <v>180</v>
      </c>
    </row>
    <row r="16" spans="1:14" x14ac:dyDescent="0.3">
      <c r="B16" s="13" t="s">
        <v>40</v>
      </c>
      <c r="C16" s="12">
        <f>COUNTIF('Trade Lifecycle Tracker'!U5:U19,"Completed – Settled")</f>
        <v>5</v>
      </c>
      <c r="D16" s="47">
        <f>C16/B5</f>
        <v>0.33333333333333331</v>
      </c>
      <c r="E16" s="53" t="s">
        <v>181</v>
      </c>
    </row>
    <row r="17" spans="2:5" x14ac:dyDescent="0.3">
      <c r="B17" s="20" t="s">
        <v>108</v>
      </c>
      <c r="C17" s="19">
        <f>COUNTIF('Trade Lifecycle Tracker'!U5:U19,"In Progress")</f>
        <v>2</v>
      </c>
      <c r="D17" s="49">
        <f>C17/B5</f>
        <v>0.13333333333333333</v>
      </c>
      <c r="E17" s="54" t="s">
        <v>182</v>
      </c>
    </row>
    <row r="18" spans="2:5" x14ac:dyDescent="0.3">
      <c r="B18" s="13" t="s">
        <v>50</v>
      </c>
      <c r="C18" s="12">
        <f>COUNTIF('Trade Lifecycle Tracker'!U5:U19,"Break – Investigation")</f>
        <v>7</v>
      </c>
      <c r="D18" s="47">
        <f>C18/B5</f>
        <v>0.46666666666666667</v>
      </c>
      <c r="E18" s="55" t="s">
        <v>183</v>
      </c>
    </row>
    <row r="19" spans="2:5" x14ac:dyDescent="0.3">
      <c r="B19" s="20" t="s">
        <v>132</v>
      </c>
      <c r="C19" s="19">
        <f>COUNTIF('Trade Lifecycle Tracker'!U5:U19,"Ready for Settlement")</f>
        <v>1</v>
      </c>
      <c r="D19" s="49">
        <f>C19/B5</f>
        <v>6.6666666666666666E-2</v>
      </c>
      <c r="E19" s="56" t="s">
        <v>184</v>
      </c>
    </row>
    <row r="20" spans="2:5" x14ac:dyDescent="0.3">
      <c r="B20" s="13" t="s">
        <v>172</v>
      </c>
      <c r="C20" s="12">
        <f>COUNTIF('Trade Lifecycle Tracker'!U5:U19,"Pending Match")</f>
        <v>0</v>
      </c>
      <c r="D20" s="47">
        <f>C20/B5</f>
        <v>0</v>
      </c>
      <c r="E20" s="57" t="s">
        <v>185</v>
      </c>
    </row>
  </sheetData>
  <mergeCells count="3">
    <mergeCell ref="A1:N1"/>
    <mergeCell ref="A2:N2"/>
    <mergeCell ref="B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zoomScaleNormal="100" workbookViewId="0">
      <selection sqref="A1:F1"/>
    </sheetView>
  </sheetViews>
  <sheetFormatPr defaultColWidth="8.77734375" defaultRowHeight="14.4" x14ac:dyDescent="0.3"/>
  <cols>
    <col min="1" max="1" width="7" customWidth="1"/>
    <col min="2" max="2" width="18" customWidth="1"/>
    <col min="3" max="3" width="37.88671875" customWidth="1"/>
    <col min="4" max="4" width="35" customWidth="1"/>
    <col min="5" max="5" width="37.88671875" customWidth="1"/>
    <col min="6" max="6" width="28" customWidth="1"/>
  </cols>
  <sheetData>
    <row r="1" spans="1:6" ht="25.5" customHeight="1" x14ac:dyDescent="0.3">
      <c r="A1" s="3" t="s">
        <v>186</v>
      </c>
      <c r="B1" s="3"/>
      <c r="C1" s="3"/>
      <c r="D1" s="3"/>
      <c r="E1" s="3"/>
      <c r="F1" s="3"/>
    </row>
    <row r="2" spans="1:6" ht="18" customHeight="1" x14ac:dyDescent="0.3">
      <c r="A2" s="45" t="s">
        <v>187</v>
      </c>
      <c r="B2" s="45" t="s">
        <v>188</v>
      </c>
      <c r="C2" s="45" t="s">
        <v>189</v>
      </c>
      <c r="D2" s="45" t="s">
        <v>190</v>
      </c>
      <c r="E2" s="45" t="s">
        <v>191</v>
      </c>
      <c r="F2" s="45" t="s">
        <v>192</v>
      </c>
    </row>
    <row r="3" spans="1:6" ht="45" customHeight="1" x14ac:dyDescent="0.3">
      <c r="A3" s="58" t="s">
        <v>193</v>
      </c>
      <c r="B3" s="59" t="s">
        <v>194</v>
      </c>
      <c r="C3" s="59" t="s">
        <v>195</v>
      </c>
      <c r="D3" s="59" t="s">
        <v>196</v>
      </c>
      <c r="E3" s="59" t="s">
        <v>197</v>
      </c>
      <c r="F3" s="60" t="s">
        <v>198</v>
      </c>
    </row>
    <row r="4" spans="1:6" ht="45" customHeight="1" x14ac:dyDescent="0.3">
      <c r="A4" s="61" t="s">
        <v>199</v>
      </c>
      <c r="B4" s="62" t="s">
        <v>200</v>
      </c>
      <c r="C4" s="62" t="s">
        <v>201</v>
      </c>
      <c r="D4" s="62" t="s">
        <v>202</v>
      </c>
      <c r="E4" s="62" t="s">
        <v>203</v>
      </c>
      <c r="F4" s="63" t="s">
        <v>204</v>
      </c>
    </row>
    <row r="5" spans="1:6" ht="45" customHeight="1" x14ac:dyDescent="0.3">
      <c r="A5" s="64" t="s">
        <v>205</v>
      </c>
      <c r="B5" s="59" t="s">
        <v>206</v>
      </c>
      <c r="C5" s="59" t="s">
        <v>207</v>
      </c>
      <c r="D5" s="59" t="s">
        <v>208</v>
      </c>
      <c r="E5" s="59" t="s">
        <v>209</v>
      </c>
      <c r="F5" s="60" t="s">
        <v>210</v>
      </c>
    </row>
    <row r="6" spans="1:6" ht="45" customHeight="1" x14ac:dyDescent="0.3">
      <c r="A6" s="65" t="s">
        <v>211</v>
      </c>
      <c r="B6" s="62" t="s">
        <v>212</v>
      </c>
      <c r="C6" s="62" t="s">
        <v>213</v>
      </c>
      <c r="D6" s="62" t="s">
        <v>214</v>
      </c>
      <c r="E6" s="62" t="s">
        <v>215</v>
      </c>
      <c r="F6" s="63" t="s">
        <v>216</v>
      </c>
    </row>
    <row r="7" spans="1:6" ht="45" customHeight="1" x14ac:dyDescent="0.3">
      <c r="A7" s="66" t="s">
        <v>217</v>
      </c>
      <c r="B7" s="59" t="s">
        <v>218</v>
      </c>
      <c r="C7" s="59" t="s">
        <v>219</v>
      </c>
      <c r="D7" s="59" t="s">
        <v>220</v>
      </c>
      <c r="E7" s="59" t="s">
        <v>221</v>
      </c>
      <c r="F7" s="60" t="s">
        <v>222</v>
      </c>
    </row>
    <row r="8" spans="1:6" ht="45" customHeight="1" x14ac:dyDescent="0.3">
      <c r="A8" s="67" t="s">
        <v>223</v>
      </c>
      <c r="B8" s="62" t="s">
        <v>224</v>
      </c>
      <c r="C8" s="62" t="s">
        <v>225</v>
      </c>
      <c r="D8" s="62" t="s">
        <v>226</v>
      </c>
      <c r="E8" s="62" t="s">
        <v>227</v>
      </c>
      <c r="F8" s="63" t="s">
        <v>228</v>
      </c>
    </row>
    <row r="9" spans="1:6" ht="45" customHeight="1" x14ac:dyDescent="0.3">
      <c r="A9" s="68" t="s">
        <v>229</v>
      </c>
      <c r="B9" s="59" t="s">
        <v>230</v>
      </c>
      <c r="C9" s="59" t="s">
        <v>231</v>
      </c>
      <c r="D9" s="59" t="s">
        <v>232</v>
      </c>
      <c r="E9" s="59" t="s">
        <v>233</v>
      </c>
      <c r="F9" s="60" t="s">
        <v>234</v>
      </c>
    </row>
    <row r="10" spans="1:6" ht="45" customHeight="1" x14ac:dyDescent="0.3">
      <c r="A10" s="69" t="s">
        <v>235</v>
      </c>
      <c r="B10" s="62" t="s">
        <v>236</v>
      </c>
      <c r="C10" s="62" t="s">
        <v>237</v>
      </c>
      <c r="D10" s="62" t="s">
        <v>238</v>
      </c>
      <c r="E10" s="62" t="s">
        <v>239</v>
      </c>
      <c r="F10" s="63" t="s">
        <v>240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topLeftCell="A6" zoomScaleNormal="100" workbookViewId="0">
      <selection sqref="A1:G1"/>
    </sheetView>
  </sheetViews>
  <sheetFormatPr defaultColWidth="8.77734375" defaultRowHeight="14.4" x14ac:dyDescent="0.3"/>
  <cols>
    <col min="1" max="1" width="4" customWidth="1"/>
    <col min="2" max="2" width="22.109375" customWidth="1"/>
    <col min="3" max="3" width="18" customWidth="1"/>
    <col min="4" max="4" width="40" customWidth="1"/>
    <col min="5" max="5" width="35" customWidth="1"/>
    <col min="6" max="6" width="45.109375" customWidth="1"/>
    <col min="7" max="7" width="12" customWidth="1"/>
  </cols>
  <sheetData>
    <row r="1" spans="1:7" ht="25.5" customHeight="1" x14ac:dyDescent="0.3">
      <c r="A1" s="2" t="s">
        <v>241</v>
      </c>
      <c r="B1" s="2"/>
      <c r="C1" s="2"/>
      <c r="D1" s="2"/>
      <c r="E1" s="2"/>
      <c r="F1" s="2"/>
      <c r="G1" s="2"/>
    </row>
    <row r="2" spans="1:7" ht="15.75" customHeight="1" x14ac:dyDescent="0.3">
      <c r="A2" s="1" t="s">
        <v>242</v>
      </c>
      <c r="B2" s="1"/>
      <c r="C2" s="1"/>
      <c r="D2" s="1"/>
      <c r="E2" s="1"/>
      <c r="F2" s="1"/>
      <c r="G2" s="1"/>
    </row>
    <row r="3" spans="1:7" ht="19.5" customHeight="1" x14ac:dyDescent="0.3">
      <c r="A3" s="70" t="s">
        <v>243</v>
      </c>
      <c r="B3" s="70" t="s">
        <v>244</v>
      </c>
      <c r="C3" s="70" t="s">
        <v>187</v>
      </c>
      <c r="D3" s="70" t="s">
        <v>245</v>
      </c>
      <c r="E3" s="70" t="s">
        <v>246</v>
      </c>
      <c r="F3" s="70" t="s">
        <v>247</v>
      </c>
      <c r="G3" s="70" t="s">
        <v>248</v>
      </c>
    </row>
    <row r="4" spans="1:7" ht="54.75" customHeight="1" x14ac:dyDescent="0.3">
      <c r="A4" s="60">
        <v>1</v>
      </c>
      <c r="B4" s="59" t="s">
        <v>249</v>
      </c>
      <c r="C4" s="60" t="s">
        <v>49</v>
      </c>
      <c r="D4" s="59" t="s">
        <v>250</v>
      </c>
      <c r="E4" s="59" t="s">
        <v>251</v>
      </c>
      <c r="F4" s="59" t="s">
        <v>252</v>
      </c>
      <c r="G4" s="37" t="s">
        <v>253</v>
      </c>
    </row>
    <row r="5" spans="1:7" ht="54.75" customHeight="1" x14ac:dyDescent="0.3">
      <c r="A5" s="63">
        <v>2</v>
      </c>
      <c r="B5" s="62" t="s">
        <v>254</v>
      </c>
      <c r="C5" s="63" t="s">
        <v>49</v>
      </c>
      <c r="D5" s="62" t="s">
        <v>255</v>
      </c>
      <c r="E5" s="62" t="s">
        <v>256</v>
      </c>
      <c r="F5" s="62" t="s">
        <v>257</v>
      </c>
      <c r="G5" s="37" t="s">
        <v>253</v>
      </c>
    </row>
    <row r="6" spans="1:7" ht="54.75" customHeight="1" x14ac:dyDescent="0.3">
      <c r="A6" s="60">
        <v>3</v>
      </c>
      <c r="B6" s="59" t="s">
        <v>258</v>
      </c>
      <c r="C6" s="60" t="s">
        <v>67</v>
      </c>
      <c r="D6" s="59" t="s">
        <v>259</v>
      </c>
      <c r="E6" s="59" t="s">
        <v>260</v>
      </c>
      <c r="F6" s="59" t="s">
        <v>261</v>
      </c>
      <c r="G6" s="36" t="s">
        <v>262</v>
      </c>
    </row>
    <row r="7" spans="1:7" ht="54.75" customHeight="1" x14ac:dyDescent="0.3">
      <c r="A7" s="63">
        <v>4</v>
      </c>
      <c r="B7" s="62" t="s">
        <v>263</v>
      </c>
      <c r="C7" s="63" t="s">
        <v>77</v>
      </c>
      <c r="D7" s="62" t="s">
        <v>264</v>
      </c>
      <c r="E7" s="62" t="s">
        <v>265</v>
      </c>
      <c r="F7" s="62" t="s">
        <v>266</v>
      </c>
      <c r="G7" s="37" t="s">
        <v>253</v>
      </c>
    </row>
    <row r="8" spans="1:7" ht="54.75" customHeight="1" x14ac:dyDescent="0.3">
      <c r="A8" s="60">
        <v>5</v>
      </c>
      <c r="B8" s="59" t="s">
        <v>267</v>
      </c>
      <c r="C8" s="60" t="s">
        <v>39</v>
      </c>
      <c r="D8" s="59" t="s">
        <v>268</v>
      </c>
      <c r="E8" s="59" t="s">
        <v>269</v>
      </c>
      <c r="F8" s="59" t="s">
        <v>270</v>
      </c>
      <c r="G8" s="36" t="s">
        <v>262</v>
      </c>
    </row>
    <row r="9" spans="1:7" ht="54.75" customHeight="1" x14ac:dyDescent="0.3">
      <c r="A9" s="63">
        <v>6</v>
      </c>
      <c r="B9" s="62" t="s">
        <v>271</v>
      </c>
      <c r="C9" s="63" t="s">
        <v>39</v>
      </c>
      <c r="D9" s="62" t="s">
        <v>272</v>
      </c>
      <c r="E9" s="62" t="s">
        <v>273</v>
      </c>
      <c r="F9" s="62" t="s">
        <v>274</v>
      </c>
      <c r="G9" s="37" t="s">
        <v>253</v>
      </c>
    </row>
    <row r="10" spans="1:7" ht="54.75" customHeight="1" x14ac:dyDescent="0.3">
      <c r="A10" s="60">
        <v>7</v>
      </c>
      <c r="B10" s="59" t="s">
        <v>275</v>
      </c>
      <c r="C10" s="60" t="s">
        <v>49</v>
      </c>
      <c r="D10" s="59" t="s">
        <v>276</v>
      </c>
      <c r="E10" s="59" t="s">
        <v>277</v>
      </c>
      <c r="F10" s="59" t="s">
        <v>278</v>
      </c>
      <c r="G10" s="34" t="s">
        <v>279</v>
      </c>
    </row>
    <row r="11" spans="1:7" ht="54.75" customHeight="1" x14ac:dyDescent="0.3">
      <c r="A11" s="63">
        <v>8</v>
      </c>
      <c r="B11" s="62" t="s">
        <v>280</v>
      </c>
      <c r="C11" s="63" t="s">
        <v>281</v>
      </c>
      <c r="D11" s="62" t="s">
        <v>282</v>
      </c>
      <c r="E11" s="62" t="s">
        <v>283</v>
      </c>
      <c r="F11" s="62" t="s">
        <v>284</v>
      </c>
      <c r="G11" s="34" t="s">
        <v>279</v>
      </c>
    </row>
    <row r="12" spans="1:7" ht="54.75" customHeight="1" x14ac:dyDescent="0.3">
      <c r="A12" s="60">
        <v>9</v>
      </c>
      <c r="B12" s="59" t="s">
        <v>285</v>
      </c>
      <c r="C12" s="60" t="s">
        <v>107</v>
      </c>
      <c r="D12" s="59" t="s">
        <v>286</v>
      </c>
      <c r="E12" s="59" t="s">
        <v>287</v>
      </c>
      <c r="F12" s="59" t="s">
        <v>288</v>
      </c>
      <c r="G12" s="36" t="s">
        <v>262</v>
      </c>
    </row>
    <row r="13" spans="1:7" ht="54.75" customHeight="1" x14ac:dyDescent="0.3">
      <c r="A13" s="63">
        <v>10</v>
      </c>
      <c r="B13" s="62" t="s">
        <v>289</v>
      </c>
      <c r="C13" s="63" t="s">
        <v>39</v>
      </c>
      <c r="D13" s="62" t="s">
        <v>290</v>
      </c>
      <c r="E13" s="62" t="s">
        <v>291</v>
      </c>
      <c r="F13" s="62" t="s">
        <v>292</v>
      </c>
      <c r="G13" s="37" t="s">
        <v>253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Lifecycle Tracker</vt:lpstr>
      <vt:lpstr>Dashboard</vt:lpstr>
      <vt:lpstr>Stage Reference Guide</vt:lpstr>
      <vt:lpstr>Failure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MISHRA</cp:lastModifiedBy>
  <cp:revision>0</cp:revision>
  <dcterms:created xsi:type="dcterms:W3CDTF">2026-05-03T07:50:11Z</dcterms:created>
  <dcterms:modified xsi:type="dcterms:W3CDTF">2026-05-23T14:00:52Z</dcterms:modified>
  <dc:language>en-US</dc:language>
</cp:coreProperties>
</file>