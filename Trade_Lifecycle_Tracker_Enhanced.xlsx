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de Lifecycle Tracker" sheetId="1" state="visible" r:id="rId3"/>
    <sheet name="Dashboard" sheetId="2" state="visible" r:id="rId4"/>
    <sheet name="Stage Reference Guide" sheetId="3" state="visible" r:id="rId5"/>
    <sheet name="Failure Scenarios" sheetId="4" state="visible" r:id="rId6"/>
    <sheet name="Gloss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<sst xmlns="http://schemas.openxmlformats.org/spreadsheetml/2006/main" count="498" uniqueCount="363">
  <si>
    <t xml:space="preserve">TRADE LIFECYCLE TRACKER — IronHub Capital Operations</t>
  </si>
  <si>
    <t xml:space="preserve">Equities | Fixed Income | Derivatives  •  Simulated Portfolio — T+1 Settlement Simulation | India Markets</t>
  </si>
  <si>
    <t xml:space="preserve">STAGE PIPELINE:  T → Execution   S-1 → Capture   S-2 → Validation   S-3 → Enrichment   S-4 → Allocation   S-5 → Matching   S-6 → Clearing   S-7 → Settlement</t>
  </si>
  <si>
    <t xml:space="preserve">Trade ID</t>
  </si>
  <si>
    <t xml:space="preserve">Trade Date</t>
  </si>
  <si>
    <t xml:space="preserve">Asset Class</t>
  </si>
  <si>
    <t xml:space="preserve">Instrument</t>
  </si>
  <si>
    <t xml:space="preserve">ISIN</t>
  </si>
  <si>
    <t xml:space="preserve">Buy/Sell</t>
  </si>
  <si>
    <t xml:space="preserve">Qty (Our)</t>
  </si>
  <si>
    <t xml:space="preserve">Qty (CP)</t>
  </si>
  <si>
    <t xml:space="preserve">Price Our (₹)</t>
  </si>
  <si>
    <t xml:space="preserve">Price CP (₹)</t>
  </si>
  <si>
    <t xml:space="preserve">Gross Value (₹)</t>
  </si>
  <si>
    <t xml:space="preserve">Broker / CP</t>
  </si>
  <si>
    <t xml:space="preserve">Custodian</t>
  </si>
  <si>
    <t xml:space="preserve">Settlement Type</t>
  </si>
  <si>
    <t xml:space="preserve">Settlement Date</t>
  </si>
  <si>
    <t xml:space="preserve">Trade Time
(T)</t>
  </si>
  <si>
    <t xml:space="preserve">Capture Time
(S-1)</t>
  </si>
  <si>
    <t xml:space="preserve">Match Time
(S-5)</t>
  </si>
  <si>
    <t xml:space="preserve">Settlement Time
(S-7)</t>
  </si>
  <si>
    <t xml:space="preserve">Current Stage</t>
  </si>
  <si>
    <t xml:space="preserve">Lifecycle Status</t>
  </si>
  <si>
    <t xml:space="preserve">Failure Reason</t>
  </si>
  <si>
    <t xml:space="preserve">TRD-001</t>
  </si>
  <si>
    <t xml:space="preserve">03-Apr-2025</t>
  </si>
  <si>
    <t xml:space="preserve">Equity</t>
  </si>
  <si>
    <t xml:space="preserve">Reliance Industries Ltd</t>
  </si>
  <si>
    <t xml:space="preserve">INE002A01018</t>
  </si>
  <si>
    <t xml:space="preserve">BUY</t>
  </si>
  <si>
    <t xml:space="preserve">ICICI Securities</t>
  </si>
  <si>
    <t xml:space="preserve">HDFC Custody</t>
  </si>
  <si>
    <t xml:space="preserve">Rolling (T+1)</t>
  </si>
  <si>
    <t xml:space="preserve">04-Apr-2025</t>
  </si>
  <si>
    <t xml:space="preserve">09:15:22</t>
  </si>
  <si>
    <t xml:space="preserve">09:17:05</t>
  </si>
  <si>
    <t xml:space="preserve">09:45:18</t>
  </si>
  <si>
    <t xml:space="preserve">14:32:10</t>
  </si>
  <si>
    <t xml:space="preserve">S-7 Settlement</t>
  </si>
  <si>
    <t xml:space="preserve">Completed – Settled</t>
  </si>
  <si>
    <t xml:space="preserve">TRD-002</t>
  </si>
  <si>
    <t xml:space="preserve">Infosys Ltd</t>
  </si>
  <si>
    <t xml:space="preserve">INE009A01021</t>
  </si>
  <si>
    <t xml:space="preserve">SELL</t>
  </si>
  <si>
    <t xml:space="preserve">Zerodha</t>
  </si>
  <si>
    <t xml:space="preserve">Axis Custody</t>
  </si>
  <si>
    <t xml:space="preserve">09:16:40</t>
  </si>
  <si>
    <t xml:space="preserve">09:18:55</t>
  </si>
  <si>
    <t xml:space="preserve">S-5 Matching</t>
  </si>
  <si>
    <t xml:space="preserve">Break – Investigation</t>
  </si>
  <si>
    <t xml:space="preserve">Price mismatch: Our ₹1520.50 vs CP ₹1518.00 — Break raised on Omegeo CTM</t>
  </si>
  <si>
    <t xml:space="preserve">TRD-003</t>
  </si>
  <si>
    <t xml:space="preserve">Wipro Ltd</t>
  </si>
  <si>
    <t xml:space="preserve">INE075A01022</t>
  </si>
  <si>
    <t xml:space="preserve">Angel Broking</t>
  </si>
  <si>
    <t xml:space="preserve">Standard Chartered</t>
  </si>
  <si>
    <t xml:space="preserve">09:22:11</t>
  </si>
  <si>
    <t xml:space="preserve">09:24:30</t>
  </si>
  <si>
    <t xml:space="preserve">Qty mismatch: Our 400 vs CP 398 — partial fill not confirmed by broker</t>
  </si>
  <si>
    <t xml:space="preserve">TRD-004</t>
  </si>
  <si>
    <t xml:space="preserve">Asian Paints Ltd</t>
  </si>
  <si>
    <t xml:space="preserve">INE021A01999</t>
  </si>
  <si>
    <t xml:space="preserve">Macquarie India</t>
  </si>
  <si>
    <t xml:space="preserve">ICICI Custody</t>
  </si>
  <si>
    <t xml:space="preserve">09:28:05</t>
  </si>
  <si>
    <t xml:space="preserve">09:31:12</t>
  </si>
  <si>
    <t xml:space="preserve">S-2 Validation</t>
  </si>
  <si>
    <t xml:space="preserve">Invalid ISIN: INE021A01999 — correct ISIN is INE021A01026; trade failed validation</t>
  </si>
  <si>
    <t xml:space="preserve">TRD-005</t>
  </si>
  <si>
    <t xml:space="preserve">02-Apr-2025</t>
  </si>
  <si>
    <t xml:space="preserve">HDFC Bank Ltd</t>
  </si>
  <si>
    <t xml:space="preserve">INE040A01034</t>
  </si>
  <si>
    <t xml:space="preserve">Edelweiss</t>
  </si>
  <si>
    <t xml:space="preserve">Kotak Custody</t>
  </si>
  <si>
    <t xml:space="preserve">10:05:44</t>
  </si>
  <si>
    <t xml:space="preserve">10:07:20</t>
  </si>
  <si>
    <t xml:space="preserve">S-3 Enrichment</t>
  </si>
  <si>
    <t xml:space="preserve">Counterparty SSI not found: SSI-EDL-004 missing in static data; enrichment halted</t>
  </si>
  <si>
    <t xml:space="preserve">TRD-006</t>
  </si>
  <si>
    <t xml:space="preserve">01-Apr-2025</t>
  </si>
  <si>
    <t xml:space="preserve">Tata Consultancy Services</t>
  </si>
  <si>
    <t xml:space="preserve">INE467B01029</t>
  </si>
  <si>
    <t xml:space="preserve">Kotak Securities</t>
  </si>
  <si>
    <t xml:space="preserve">Citi Custody</t>
  </si>
  <si>
    <t xml:space="preserve">09:45:00</t>
  </si>
  <si>
    <t xml:space="preserve">09:46:55</t>
  </si>
  <si>
    <t xml:space="preserve">10:02:30</t>
  </si>
  <si>
    <t xml:space="preserve">Short delivery: Seller delivered 0 units; NSDL auction process triggered</t>
  </si>
  <si>
    <t xml:space="preserve">TRD-007</t>
  </si>
  <si>
    <t xml:space="preserve">Bajaj Finance Ltd</t>
  </si>
  <si>
    <t xml:space="preserve">INE296A01024</t>
  </si>
  <si>
    <t xml:space="preserve">CLSA India</t>
  </si>
  <si>
    <t xml:space="preserve">JP Morgan</t>
  </si>
  <si>
    <t xml:space="preserve">11:10:22</t>
  </si>
  <si>
    <t xml:space="preserve">11:12:08</t>
  </si>
  <si>
    <t xml:space="preserve">11:28:45</t>
  </si>
  <si>
    <t xml:space="preserve">Funding failure: CP flagged insufficient cash at custodian on settlement date; repair initiated</t>
  </si>
  <si>
    <t xml:space="preserve">TRD-008</t>
  </si>
  <si>
    <t xml:space="preserve">Fixed Income</t>
  </si>
  <si>
    <t xml:space="preserve">Govt of India 7.26% 2029 Bond</t>
  </si>
  <si>
    <t xml:space="preserve">IN0020210203</t>
  </si>
  <si>
    <t xml:space="preserve">Deutsche Custody</t>
  </si>
  <si>
    <t xml:space="preserve">T+1</t>
  </si>
  <si>
    <t xml:space="preserve">09:30:00</t>
  </si>
  <si>
    <t xml:space="preserve">09:32:15</t>
  </si>
  <si>
    <t xml:space="preserve">10:15:00</t>
  </si>
  <si>
    <t xml:space="preserve">S-6 Clearing</t>
  </si>
  <si>
    <t xml:space="preserve">In Progress</t>
  </si>
  <si>
    <t xml:space="preserve">TRD-009</t>
  </si>
  <si>
    <t xml:space="preserve">SBI Perpetual Bond 8.50%</t>
  </si>
  <si>
    <t xml:space="preserve">INE062A08209</t>
  </si>
  <si>
    <t xml:space="preserve">Nomura India</t>
  </si>
  <si>
    <t xml:space="preserve">HSBC Custody</t>
  </si>
  <si>
    <t xml:space="preserve">09:55:10</t>
  </si>
  <si>
    <t xml:space="preserve">09:57:22</t>
  </si>
  <si>
    <t xml:space="preserve">S-4 Allocation</t>
  </si>
  <si>
    <t xml:space="preserve">TRD-010</t>
  </si>
  <si>
    <t xml:space="preserve">31-Mar-2025</t>
  </si>
  <si>
    <t xml:space="preserve">NTPC Ltd NCD 7.15% 2027</t>
  </si>
  <si>
    <t xml:space="preserve">INE733E07BZ2</t>
  </si>
  <si>
    <t xml:space="preserve">IIFL Securities</t>
  </si>
  <si>
    <t xml:space="preserve">10:00:00</t>
  </si>
  <si>
    <t xml:space="preserve">10:01:45</t>
  </si>
  <si>
    <t xml:space="preserve">10:25:30</t>
  </si>
  <si>
    <t xml:space="preserve">14:10:00</t>
  </si>
  <si>
    <t xml:space="preserve">TRD-011</t>
  </si>
  <si>
    <t xml:space="preserve">Power Finance Corp Bond 7.8%</t>
  </si>
  <si>
    <t xml:space="preserve">INE134E08JL0</t>
  </si>
  <si>
    <t xml:space="preserve">Goldman Sachs</t>
  </si>
  <si>
    <t xml:space="preserve">10:16:30</t>
  </si>
  <si>
    <t xml:space="preserve">10:40:00</t>
  </si>
  <si>
    <t xml:space="preserve">Ready for Settlement</t>
  </si>
  <si>
    <t xml:space="preserve">TRD-012</t>
  </si>
  <si>
    <t xml:space="preserve">Derivatives</t>
  </si>
  <si>
    <t xml:space="preserve">Nifty 50 Futures Apr-2025</t>
  </si>
  <si>
    <t xml:space="preserve">N/A</t>
  </si>
  <si>
    <t xml:space="preserve">Sharekhan</t>
  </si>
  <si>
    <t xml:space="preserve">NSCCL</t>
  </si>
  <si>
    <t xml:space="preserve">T+0 (Daily)</t>
  </si>
  <si>
    <t xml:space="preserve">09:18:00</t>
  </si>
  <si>
    <t xml:space="preserve">09:18:45</t>
  </si>
  <si>
    <t xml:space="preserve">09:20:00</t>
  </si>
  <si>
    <t xml:space="preserve">12:30:00</t>
  </si>
  <si>
    <t xml:space="preserve">TRD-013</t>
  </si>
  <si>
    <t xml:space="preserve">USD/INR Currency Futures</t>
  </si>
  <si>
    <t xml:space="preserve">CCIL</t>
  </si>
  <si>
    <t xml:space="preserve">09:21:10</t>
  </si>
  <si>
    <t xml:space="preserve">09:22:30</t>
  </si>
  <si>
    <t xml:space="preserve">12:45:00</t>
  </si>
  <si>
    <t xml:space="preserve">TRD-014</t>
  </si>
  <si>
    <t xml:space="preserve">Bank Nifty Put Option 48000</t>
  </si>
  <si>
    <t xml:space="preserve">10:30:00</t>
  </si>
  <si>
    <t xml:space="preserve">10:30:55</t>
  </si>
  <si>
    <t xml:space="preserve">10:31:30</t>
  </si>
  <si>
    <t xml:space="preserve">14:00:00</t>
  </si>
  <si>
    <t xml:space="preserve">TRD-015</t>
  </si>
  <si>
    <t xml:space="preserve">Maruti Suzuki India Ltd</t>
  </si>
  <si>
    <t xml:space="preserve">INE585B01010</t>
  </si>
  <si>
    <t xml:space="preserve">SBI Securities</t>
  </si>
  <si>
    <t xml:space="preserve">BNY Mellon</t>
  </si>
  <si>
    <t xml:space="preserve">11:05:00</t>
  </si>
  <si>
    <t xml:space="preserve">11:06:30</t>
  </si>
  <si>
    <t xml:space="preserve">11:20:00</t>
  </si>
  <si>
    <t xml:space="preserve">Recon break: OMS qty 80, custody shows 75 — investigating corporate action impact</t>
  </si>
  <si>
    <t xml:space="preserve">TOTALS</t>
  </si>
  <si>
    <t xml:space="preserve">OPERATIONS DASHBOARD — Trade Lifecycle Summary</t>
  </si>
  <si>
    <t xml:space="preserve">Live metrics derived from Trade Lifecycle Tracker sheet  |  IronHub Capital  |  India Equities, Fixed Income &amp; Derivatives</t>
  </si>
  <si>
    <t xml:space="preserve">Total Trades</t>
  </si>
  <si>
    <t xml:space="preserve">Total Value (₹)</t>
  </si>
  <si>
    <t xml:space="preserve">Settled</t>
  </si>
  <si>
    <t xml:space="preserve">Break / Failed</t>
  </si>
  <si>
    <t xml:space="preserve">Pending Match</t>
  </si>
  <si>
    <t xml:space="preserve">Category</t>
  </si>
  <si>
    <t xml:space="preserve">Count</t>
  </si>
  <si>
    <t xml:space="preserve">% of Trades</t>
  </si>
  <si>
    <t xml:space="preserve">TOTAL</t>
  </si>
  <si>
    <t xml:space="preserve">SETTLEMENT STATUS BREAKDOWN</t>
  </si>
  <si>
    <t xml:space="preserve">Status</t>
  </si>
  <si>
    <t xml:space="preserve">% of Total</t>
  </si>
  <si>
    <t xml:space="preserve">Risk Flag</t>
  </si>
  <si>
    <t xml:space="preserve">✔ Clean</t>
  </si>
  <si>
    <t xml:space="preserve">⚠ Monitor</t>
  </si>
  <si>
    <t xml:space="preserve">✖ Urgent</t>
  </si>
  <si>
    <t xml:space="preserve">→ STP</t>
  </si>
  <si>
    <t xml:space="preserve">⚠ Chase CP</t>
  </si>
  <si>
    <t xml:space="preserve">TRADE LIFECYCLE — STAGE REFERENCE GUIDE</t>
  </si>
  <si>
    <t xml:space="preserve">Stage</t>
  </si>
  <si>
    <t xml:space="preserve">Stage Name</t>
  </si>
  <si>
    <t xml:space="preserve">Key Activity</t>
  </si>
  <si>
    <t xml:space="preserve">Systems Used</t>
  </si>
  <si>
    <t xml:space="preserve">Failure Points</t>
  </si>
  <si>
    <t xml:space="preserve">STP Check</t>
  </si>
  <si>
    <t xml:space="preserve">T</t>
  </si>
  <si>
    <t xml:space="preserve">Trade Execution</t>
  </si>
  <si>
    <t xml:space="preserve">PM/trader executes order on exchange or OTC; fill confirmed</t>
  </si>
  <si>
    <t xml:space="preserve">Exchange engine, DMA, Bloomberg EMSX</t>
  </si>
  <si>
    <t xml:space="preserve">Wrong instrument, wrong price, partial fill, latency</t>
  </si>
  <si>
    <t xml:space="preserve">Auto-confirm via FIX</t>
  </si>
  <si>
    <t xml:space="preserve">S-1</t>
  </si>
  <si>
    <t xml:space="preserve">Trade Capture</t>
  </si>
  <si>
    <t xml:space="preserve">Trade details entered / auto-booked into OMS (Trade ID generated)</t>
  </si>
  <si>
    <t xml:space="preserve">OMS (Bloomberg AIM, Charles River, Flextrade)</t>
  </si>
  <si>
    <t xml:space="preserve">Duplicate booking, wrong quantity, wrong account</t>
  </si>
  <si>
    <t xml:space="preserve">STP from execution feed</t>
  </si>
  <si>
    <t xml:space="preserve">S-2</t>
  </si>
  <si>
    <t xml:space="preserve">Validation</t>
  </si>
  <si>
    <t xml:space="preserve">System validates ISIN, LEI, SSI, counterparty static data</t>
  </si>
  <si>
    <t xml:space="preserve">Static data systems, Bloomberg Reference Data</t>
  </si>
  <si>
    <t xml:space="preserve">Invalid ISIN, missing LEI, stale SSI, unknown CP</t>
  </si>
  <si>
    <t xml:space="preserve">Auto-reject on failure</t>
  </si>
  <si>
    <t xml:space="preserve">S-3</t>
  </si>
  <si>
    <t xml:space="preserve">Enrichment</t>
  </si>
  <si>
    <t xml:space="preserve">Trade enriched with settlement details, custodian SSI, accrued interest (FI)</t>
  </si>
  <si>
    <t xml:space="preserve">Static data, in-house middleware, Broadridge</t>
  </si>
  <si>
    <t xml:space="preserve">Missing SSI, unknown custodian, enrichment timeout</t>
  </si>
  <si>
    <t xml:space="preserve">Auto-enrichment if SSI found</t>
  </si>
  <si>
    <t xml:space="preserve">S-4</t>
  </si>
  <si>
    <t xml:space="preserve">Allocation</t>
  </si>
  <si>
    <t xml:space="preserve">Block trade split across funds/accounts; allocation confirmed to prime broker</t>
  </si>
  <si>
    <t xml:space="preserve">OMS, SWIFT MT515, Omegeo CTM</t>
  </si>
  <si>
    <t xml:space="preserve">Late allocation, allocation sum ≠ block qty</t>
  </si>
  <si>
    <t xml:space="preserve">Auto-allocate if rules configured</t>
  </si>
  <si>
    <t xml:space="preserve">S-5</t>
  </si>
  <si>
    <t xml:space="preserve">Matching &amp; Affirmation</t>
  </si>
  <si>
    <t xml:space="preserve">Both counterparties compare and affirm trade details on CTM/DTCC</t>
  </si>
  <si>
    <t xml:space="preserve">Omegeo CTM, Markit Wire, DTCC TradeSuite</t>
  </si>
  <si>
    <t xml:space="preserve">Price/qty mismatch, late affirmation, wrong side</t>
  </si>
  <si>
    <t xml:space="preserve">Auto-match if details match</t>
  </si>
  <si>
    <t xml:space="preserve">S-6</t>
  </si>
  <si>
    <t xml:space="preserve">Clearing</t>
  </si>
  <si>
    <t xml:space="preserve">CCP novates; net obligations calculated; initial margin posted</t>
  </si>
  <si>
    <t xml:space="preserve">NSCCL, CCIL, DTCC, LCH</t>
  </si>
  <si>
    <t xml:space="preserve">Margin shortfall, CCP rejection, netting failure</t>
  </si>
  <si>
    <t xml:space="preserve">Auto-clear on CCP acceptance</t>
  </si>
  <si>
    <t xml:space="preserve">S-7</t>
  </si>
  <si>
    <t xml:space="preserve">Settlement</t>
  </si>
  <si>
    <t xml:space="preserve">DVP exchange of cash &amp; securities via depository / RTGS</t>
  </si>
  <si>
    <t xml:space="preserve">NSDL, CDSL, RTGS, SWIFT MT541/543</t>
  </si>
  <si>
    <t xml:space="preserve">Short delivery, funding failure, depot mismatch</t>
  </si>
  <si>
    <t xml:space="preserve">STP via SWIFT if SSI correct</t>
  </si>
  <si>
    <t xml:space="preserve">OPERATIONAL FAILURE SCENARIOS — Break Management Reference</t>
  </si>
  <si>
    <t xml:space="preserve">Real desk scenarios you must know for IB Operations interviews — each mapped to a lifecycle stage and resolution path</t>
  </si>
  <si>
    <t xml:space="preserve">#</t>
  </si>
  <si>
    <t xml:space="preserve">Failure Type</t>
  </si>
  <si>
    <t xml:space="preserve">Description</t>
  </si>
  <si>
    <t xml:space="preserve">Root Cause</t>
  </si>
  <si>
    <t xml:space="preserve">Resolution Steps</t>
  </si>
  <si>
    <t xml:space="preserve">Risk Level</t>
  </si>
  <si>
    <t xml:space="preserve">Price Mismatch</t>
  </si>
  <si>
    <t xml:space="preserve">Our price ₹1520.50 vs CP price ₹1518.00 — trade unmatched on Omegeo CTM</t>
  </si>
  <si>
    <t xml:space="preserve">Broker fat-finger or system rounding difference in price feed</t>
  </si>
  <si>
    <t xml:space="preserve">1. Identify discrepancy on CTM
2. Call/email broker middle office
3. Agree correct price
4. Amend and re-submit affirmation</t>
  </si>
  <si>
    <t xml:space="preserve">HIGH</t>
  </si>
  <si>
    <t xml:space="preserve">Quantity Mismatch</t>
  </si>
  <si>
    <t xml:space="preserve">Our qty 400 vs CP qty 398 — partial fill not captured on CP side</t>
  </si>
  <si>
    <t xml:space="preserve">Broker sent partial fill confirmation; full block not confirmed</t>
  </si>
  <si>
    <t xml:space="preserve">1. Pull execution report from broker
2. Check FIX drop copy
3. Confirm partial vs full fill
4. Re-allocate if needed</t>
  </si>
  <si>
    <t xml:space="preserve">Wrong ISIN</t>
  </si>
  <si>
    <t xml:space="preserve">ISIN INE021A01999 used — correct ISIN is INE021A01026 (Asian Paints)</t>
  </si>
  <si>
    <t xml:space="preserve">Ops keying error or stale security master — static data not updated</t>
  </si>
  <si>
    <t xml:space="preserve">1. Reject trade at validation
2. Correct ISIN in OMS
3. Amend booking
4. Update security master</t>
  </si>
  <si>
    <t xml:space="preserve">CRITICAL</t>
  </si>
  <si>
    <t xml:space="preserve">Counterparty / SSI Not Found</t>
  </si>
  <si>
    <t xml:space="preserve">SSI-EDL-004 missing from static data — enrichment halted at S-3</t>
  </si>
  <si>
    <t xml:space="preserve">New broker on-boarded without SSI loaded into settlement system</t>
  </si>
  <si>
    <t xml:space="preserve">1. Contact broker to obtain SSI details
2. Load SSI into static data
3. Re-run enrichment
4. Escalate if settlement date approaching</t>
  </si>
  <si>
    <t xml:space="preserve">Short Delivery</t>
  </si>
  <si>
    <t xml:space="preserve">Seller delivers 0 units on settlement date — buy-side receives nothing</t>
  </si>
  <si>
    <t xml:space="preserve">Seller had insufficient securities in depository account (NSDL/CDSL)</t>
  </si>
  <si>
    <t xml:space="preserve">1. NSDL triggers auction process
2. Claim penalty from defaulting seller
3. Buy-in at auction price
4. Notify client of delay</t>
  </si>
  <si>
    <t xml:space="preserve">Funding Failure (Cash)</t>
  </si>
  <si>
    <t xml:space="preserve">CP's custodian flags insufficient cash — DVP fails on settlement day</t>
  </si>
  <si>
    <t xml:space="preserve">CP did not fund their settlement account; treasury oversight failure</t>
  </si>
  <si>
    <t xml:space="preserve">1. Contact CP treasury immediately
2. Agree short extension if possible
3. Move to fail status
4. Calculate interest claim</t>
  </si>
  <si>
    <t xml:space="preserve">Late Affirmation</t>
  </si>
  <si>
    <t xml:space="preserve">Affirmation received after CTM cut-off — ineligible for STP clearing</t>
  </si>
  <si>
    <t xml:space="preserve">Buy-side PM did not approve allocation in time; manual intervention required</t>
  </si>
  <si>
    <t xml:space="preserve">1. Force-match with supervisor approval
2. Move to manual clearing track
3. Escalate PM tardiness
4. Review SLA</t>
  </si>
  <si>
    <t xml:space="preserve">MEDIUM</t>
  </si>
  <si>
    <t xml:space="preserve">Reconciliation Break — Position</t>
  </si>
  <si>
    <t xml:space="preserve">Post-Settlement</t>
  </si>
  <si>
    <t xml:space="preserve">OMS shows 80 units Maruti; custody statement shows 75 — 5 unit break</t>
  </si>
  <si>
    <t xml:space="preserve">Corporate action (stock split/bonus) not reflected in OMS; custody updated first</t>
  </si>
  <si>
    <t xml:space="preserve">1. Pull corporate action record
2. Manually adjust OMS position
3. Pass journal entry
4. Update recon system (TLM/Intellimatch)</t>
  </si>
  <si>
    <t xml:space="preserve">Margin Shortfall</t>
  </si>
  <si>
    <t xml:space="preserve">CCP rejects clearing due to insufficient initial margin posted for derivative</t>
  </si>
  <si>
    <t xml:space="preserve">MTM move overnight increased margin requirement; firm treasury not notified</t>
  </si>
  <si>
    <t xml:space="preserve">1. Urgent margin call to treasury
2. Post additional margin via RTGS
3. Confirm with NSCCL/CCIL
4. Review margin model thresholds</t>
  </si>
  <si>
    <t xml:space="preserve">SWIFT Instruction Failure</t>
  </si>
  <si>
    <t xml:space="preserve">MT541 rejected by custodian — missing mandatory field (LEI of counterparty)</t>
  </si>
  <si>
    <t xml:space="preserve">LEI not stored in settlement system for new counterparty</t>
  </si>
  <si>
    <t xml:space="preserve">1. Obtain LEI from GLEIF database
2. Update static data
3. Re-send corrected MT541
4. Confirm custodian acknowledgement</t>
  </si>
  <si>
    <t xml:space="preserve">KEY TERMS GLOSSARY — IB Operations</t>
  </si>
  <si>
    <t xml:space="preserve">Term</t>
  </si>
  <si>
    <t xml:space="preserve">Full Form / Definition</t>
  </si>
  <si>
    <t xml:space="preserve">Stage Relevance</t>
  </si>
  <si>
    <t xml:space="preserve">Interview Tip</t>
  </si>
  <si>
    <t xml:space="preserve">DVP</t>
  </si>
  <si>
    <t xml:space="preserve">Delivery vs Payment — cash &amp; securities move simultaneously; eliminates principal risk</t>
  </si>
  <si>
    <t xml:space="preserve">S-7, S-8</t>
  </si>
  <si>
    <t xml:space="preserve">Always mention 'eliminates principal risk' when asked</t>
  </si>
  <si>
    <t xml:space="preserve">FOP</t>
  </si>
  <si>
    <t xml:space="preserve">Free of Payment — securities move without cash (collateral transfers, derivatives)</t>
  </si>
  <si>
    <t xml:space="preserve">Contrast with DVP; used in margin/collateral ops</t>
  </si>
  <si>
    <t xml:space="preserve">STP</t>
  </si>
  <si>
    <t xml:space="preserve">Straight-Through Processing — fully automated end-to-end flow with zero manual touch</t>
  </si>
  <si>
    <t xml:space="preserve">All</t>
  </si>
  <si>
    <t xml:space="preserve">'What % of your trades are STP?' is a common question</t>
  </si>
  <si>
    <t xml:space="preserve">OMS</t>
  </si>
  <si>
    <t xml:space="preserve">Order Management System — creates, routes, manages trade orders (Bloomberg AIM, Charles River)</t>
  </si>
  <si>
    <t xml:space="preserve">S-1, S-2</t>
  </si>
  <si>
    <t xml:space="preserve">Know the names: AIM, CRD, Flextrade</t>
  </si>
  <si>
    <t xml:space="preserve">SWIFT</t>
  </si>
  <si>
    <t xml:space="preserve">Society for Worldwide Interbank Financial Telecommunication — global financial messaging</t>
  </si>
  <si>
    <t xml:space="preserve">S-4, S-7</t>
  </si>
  <si>
    <t xml:space="preserve">Know MT541 (buy), MT543 (sell) and MT300 (FX)</t>
  </si>
  <si>
    <t xml:space="preserve">MT541</t>
  </si>
  <si>
    <t xml:space="preserve">SWIFT message — Receive Against Payment instruction to custodian</t>
  </si>
  <si>
    <t xml:space="preserve">Used when you BUY: you receive securities</t>
  </si>
  <si>
    <t xml:space="preserve">MT543</t>
  </si>
  <si>
    <t xml:space="preserve">SWIFT message — Deliver Against Payment instruction to custodian</t>
  </si>
  <si>
    <t xml:space="preserve">Used when you SELL: you deliver securities</t>
  </si>
  <si>
    <t xml:space="preserve">International Securities Identification Number — 12-character unique security identifier</t>
  </si>
  <si>
    <t xml:space="preserve">India ISINs start with 'IN'; US start with 'US'</t>
  </si>
  <si>
    <t xml:space="preserve">LEI</t>
  </si>
  <si>
    <t xml:space="preserve">Legal Entity Identifier — 20-character code for all OTC trade counterparties (mandatory)</t>
  </si>
  <si>
    <t xml:space="preserve">S-5, S-7</t>
  </si>
  <si>
    <t xml:space="preserve">Required under EMIR/MiFID2; obtain from GLEIF.org</t>
  </si>
  <si>
    <t xml:space="preserve">SSI</t>
  </si>
  <si>
    <t xml:space="preserve">Standard Settlement Instructions — pre-agreed account details for settlement</t>
  </si>
  <si>
    <t xml:space="preserve">'Static data' issue = SSI not loaded → enrichment fails</t>
  </si>
  <si>
    <t xml:space="preserve">CCP</t>
  </si>
  <si>
    <t xml:space="preserve">Central Counterparty — interposes between buyer &amp; seller; reduces counterparty risk</t>
  </si>
  <si>
    <t xml:space="preserve">India CCPs: NSCCL (equities), CCIL (FX/G-secs)</t>
  </si>
  <si>
    <t xml:space="preserve">CTM</t>
  </si>
  <si>
    <t xml:space="preserve">Omegeo Central Trade Manager — platform for trade confirmation &amp; affirmation</t>
  </si>
  <si>
    <t xml:space="preserve">S-4, S-5</t>
  </si>
  <si>
    <t xml:space="preserve">Matching on CTM = key STP checkpoint</t>
  </si>
  <si>
    <t xml:space="preserve">TLM</t>
  </si>
  <si>
    <t xml:space="preserve">Transaction Lifecycle Management — Broadridge reconciliation tool</t>
  </si>
  <si>
    <t xml:space="preserve">S-9</t>
  </si>
  <si>
    <t xml:space="preserve">Compares OMS vs broker vs custody positions daily</t>
  </si>
  <si>
    <t xml:space="preserve">National Securities Clearing Corporation Ltd — CCP for NSE derivatives</t>
  </si>
  <si>
    <t xml:space="preserve">Margin posted here for Nifty/Bank Nifty derivatives</t>
  </si>
  <si>
    <t xml:space="preserve">Clearing Corporation of India Ltd — CCP for FX &amp; government securities</t>
  </si>
  <si>
    <t xml:space="preserve">Mandatory central clearing for G-sec trades</t>
  </si>
  <si>
    <t xml:space="preserve">NSDL</t>
  </si>
  <si>
    <t xml:space="preserve">National Securities Depository Ltd — holds securities in demat form</t>
  </si>
  <si>
    <t xml:space="preserve">S-8</t>
  </si>
  <si>
    <t xml:space="preserve">Most institutional demat accounts are NSDL</t>
  </si>
  <si>
    <t xml:space="preserve">MTM</t>
  </si>
  <si>
    <t xml:space="preserve">Mark-to-Market — daily revaluation of positions to current market price</t>
  </si>
  <si>
    <t xml:space="preserve">S-6, S-9</t>
  </si>
  <si>
    <t xml:space="preserve">Drives daily P&amp;L and margin calls on derivatives</t>
  </si>
  <si>
    <t xml:space="preserve">Recon Break</t>
  </si>
  <si>
    <t xml:space="preserve">Discrepancy between two records — requires manual investigation to resolve</t>
  </si>
  <si>
    <t xml:space="preserve">Break = ops failure; know how to resolve each type</t>
  </si>
  <si>
    <t xml:space="preserve">Trade date plus 1 business day — standard settlement cycle (India from Jan 2023)</t>
  </si>
  <si>
    <t xml:space="preserve">US moved to T+1 in May 2024; mention both</t>
  </si>
  <si>
    <t xml:space="preserve">FIX Protocol</t>
  </si>
  <si>
    <t xml:space="preserve">Financial Information eXchange — standard messaging for order routing between OMS and broker</t>
  </si>
  <si>
    <t xml:space="preserve">Drop copy = backup of all FIX messages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</si>
</sst>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\₹#,##0"/>
    <numFmt numFmtId="168" formatCode="0.0%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C9A8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F2F2F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1F5C8B"/>
      <name val="Arial"/>
      <family val="0"/>
      <charset val="1"/>
    </font>
    <font>
      <b val="true"/>
      <sz val="9"/>
      <color rgb="FF2F2F2F"/>
      <name val="Arial"/>
      <family val="0"/>
      <charset val="1"/>
    </font>
    <font>
      <sz val="8"/>
      <color rgb="FF2F2F2F"/>
      <name val="Arial"/>
      <family val="0"/>
      <charset val="1"/>
    </font>
    <font>
      <i val="true"/>
      <sz val="8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C9A8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C9A800"/>
      <name val="Arial"/>
      <family val="0"/>
      <charset val="1"/>
    </font>
    <font>
      <b val="true"/>
      <sz val="20"/>
      <color rgb="FF1F3864"/>
      <name val="Arial"/>
      <family val="0"/>
      <charset val="1"/>
    </font>
    <font>
      <b val="true"/>
      <sz val="20"/>
      <color rgb="FF1F6FB2"/>
      <name val="Arial"/>
      <family val="0"/>
      <charset val="1"/>
    </font>
    <font>
      <b val="true"/>
      <sz val="20"/>
      <color rgb="FF1E7145"/>
      <name val="Arial"/>
      <family val="0"/>
      <charset val="1"/>
    </font>
    <font>
      <b val="true"/>
      <sz val="20"/>
      <color rgb="FFC00000"/>
      <name val="Arial"/>
      <family val="0"/>
      <charset val="1"/>
    </font>
    <font>
      <b val="true"/>
      <sz val="20"/>
      <color rgb="FFFF8C00"/>
      <name val="Arial"/>
      <family val="0"/>
      <charset val="1"/>
    </font>
    <font>
      <b val="true"/>
      <sz val="20"/>
      <color rgb="FF555577"/>
      <name val="Arial"/>
      <family val="0"/>
      <charset val="1"/>
    </font>
    <font>
      <b val="true"/>
      <sz val="9"/>
      <color rgb="FF1E7145"/>
      <name val="Arial"/>
      <family val="0"/>
      <charset val="1"/>
    </font>
    <font>
      <b val="true"/>
      <sz val="9"/>
      <color rgb="FFFF8C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1F6FB2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2F2F2F"/>
      <name val="Arial"/>
      <family val="0"/>
      <charset val="1"/>
    </font>
    <font>
      <b val="true"/>
      <sz val="9"/>
      <color rgb="FF1F3864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2E4057"/>
      </patternFill>
    </fill>
    <fill>
      <patternFill patternType="solid">
        <fgColor rgb="FF2E4057"/>
        <bgColor rgb="FF1F3864"/>
      </patternFill>
    </fill>
    <fill>
      <patternFill patternType="solid">
        <fgColor rgb="FFF2F2F2"/>
        <bgColor rgb="FFDDEEFF"/>
      </patternFill>
    </fill>
    <fill>
      <patternFill patternType="solid">
        <fgColor rgb="FFDDEEFF"/>
        <bgColor rgb="FFF2F2F2"/>
      </patternFill>
    </fill>
    <fill>
      <patternFill patternType="solid">
        <fgColor rgb="FF1E7145"/>
        <bgColor rgb="FF3D6B35"/>
      </patternFill>
    </fill>
    <fill>
      <patternFill patternType="solid">
        <fgColor rgb="FFFFFFFF"/>
        <bgColor rgb="FFF2F2F2"/>
      </patternFill>
    </fill>
    <fill>
      <patternFill patternType="solid">
        <fgColor rgb="FFFF8C00"/>
        <bgColor rgb="FFFF6600"/>
      </patternFill>
    </fill>
    <fill>
      <patternFill patternType="solid">
        <fgColor rgb="FFFADADD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5C8A8A"/>
        <bgColor rgb="FF969696"/>
      </patternFill>
    </fill>
    <fill>
      <patternFill patternType="solid">
        <fgColor rgb="FF1F6FB2"/>
        <bgColor rgb="FF1F5C8B"/>
      </patternFill>
    </fill>
    <fill>
      <patternFill patternType="solid">
        <fgColor rgb="FF7B5EA7"/>
        <bgColor rgb="FF555577"/>
      </patternFill>
    </fill>
    <fill>
      <patternFill patternType="solid">
        <fgColor rgb="FF555577"/>
        <bgColor rgb="FF7B5EA7"/>
      </patternFill>
    </fill>
    <fill>
      <patternFill patternType="solid">
        <fgColor rgb="FF3D6B35"/>
        <bgColor rgb="FF1E7145"/>
      </patternFill>
    </fill>
    <fill>
      <patternFill patternType="solid">
        <fgColor rgb="FF2F2F2F"/>
        <bgColor rgb="FF33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BBBBBB"/>
      <rgbColor rgb="FF5C8A8A"/>
      <rgbColor rgb="FF9999FF"/>
      <rgbColor rgb="FF555577"/>
      <rgbColor rgb="FFF2F2F2"/>
      <rgbColor rgb="FFDDEE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1F5C8B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DADD"/>
      <rgbColor rgb="FF3366FF"/>
      <rgbColor rgb="FF33CCCC"/>
      <rgbColor rgb="FFC9A800"/>
      <rgbColor rgb="FFFFCC00"/>
      <rgbColor rgb="FFFF8C00"/>
      <rgbColor rgb="FFFF6600"/>
      <rgbColor rgb="FF7B5EA7"/>
      <rgbColor rgb="FF969696"/>
      <rgbColor rgb="FF1F3864"/>
      <rgbColor rgb="FF3D6B35"/>
      <rgbColor rgb="FF003300"/>
      <rgbColor rgb="FF333300"/>
      <rgbColor rgb="FF993300"/>
      <rgbColor rgb="FF993366"/>
      <rgbColor rgb="FF2E4057"/>
      <rgbColor rgb="FF2F2F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"/>
  <sheetViews>
    <sheetView showFormulas="false" showGridLines="false" showRowColHeaders="true" showZeros="true" rightToLeft="false" tabSelected="true" showOutlineSymbols="true" defaultGridColor="true" view="normal" topLeftCell="U1" colorId="64" zoomScale="100" zoomScaleNormal="100" zoomScalePageLayoutView="100" workbookViewId="0">
      <pane xSplit="0" ySplit="4" topLeftCell="U5" activePane="bottomLeft" state="frozen"/>
      <selection pane="topLeft" activeCell="U1" activeCellId="0" sqref="U1"/>
      <selection pane="bottomLeft" activeCell="A1" activeCellId="0" sqref="A1"/>
    </sheetView>
  </sheetViews>
  <sheetFormatPr defaultColWidth="8.7421875" defaultRowHeight="15" zeroHeight="false" outlineLevelRow="0" outlineLevelCol="0"/>
  <cols>
    <col collapsed="false" customWidth="true" hidden="false" outlineLevel="0" max="1" min="1" style="0" width="11.03"/>
    <col collapsed="false" customWidth="true" hidden="false" outlineLevel="0" max="2" min="2" style="0" width="13.04"/>
    <col collapsed="false" customWidth="true" hidden="false" outlineLevel="0" max="3" min="3" style="0" width="13.99"/>
    <col collapsed="false" customWidth="true" hidden="false" outlineLevel="0" max="4" min="4" style="0" width="32.02"/>
    <col collapsed="false" customWidth="true" hidden="false" outlineLevel="0" max="5" min="5" style="0" width="16.95"/>
    <col collapsed="false" customWidth="true" hidden="false" outlineLevel="0" max="6" min="6" style="0" width="7.94"/>
    <col collapsed="false" customWidth="true" hidden="false" outlineLevel="0" max="8" min="7" style="0" width="9.01"/>
    <col collapsed="false" customWidth="true" hidden="false" outlineLevel="0" max="10" min="9" style="0" width="13.04"/>
    <col collapsed="false" customWidth="true" hidden="false" outlineLevel="0" max="11" min="11" style="0" width="14.93"/>
    <col collapsed="false" customWidth="true" hidden="false" outlineLevel="0" max="13" min="12" style="0" width="18.03"/>
    <col collapsed="false" customWidth="true" hidden="false" outlineLevel="0" max="15" min="14" style="0" width="13.99"/>
    <col collapsed="false" customWidth="true" hidden="false" outlineLevel="0" max="19" min="16" style="0" width="13.04"/>
    <col collapsed="false" customWidth="true" hidden="false" outlineLevel="0" max="20" min="20" style="0" width="18.03"/>
    <col collapsed="false" customWidth="true" hidden="false" outlineLevel="0" max="21" min="21" style="0" width="20.05"/>
    <col collapsed="false" customWidth="true" hidden="false" outlineLevel="0" max="22" min="22" style="0" width="48.03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21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customFormat="false" ht="36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</row>
    <row r="5" customFormat="false" ht="27.75" hidden="false" customHeight="true" outlineLevel="0" collapsed="false">
      <c r="A5" s="5" t="s">
        <v>25</v>
      </c>
      <c r="B5" s="6" t="s">
        <v>26</v>
      </c>
      <c r="C5" s="6" t="s">
        <v>27</v>
      </c>
      <c r="D5" s="6" t="s">
        <v>28</v>
      </c>
      <c r="E5" s="6" t="s">
        <v>29</v>
      </c>
      <c r="F5" s="5" t="s">
        <v>30</v>
      </c>
      <c r="G5" s="6" t="n">
        <v>500</v>
      </c>
      <c r="H5" s="6" t="n">
        <v>500</v>
      </c>
      <c r="I5" s="6" t="n">
        <v>2850</v>
      </c>
      <c r="J5" s="6" t="n">
        <v>2850</v>
      </c>
      <c r="K5" s="7" t="n">
        <f aca="false">G5*I5</f>
        <v>1425000</v>
      </c>
      <c r="L5" s="6" t="s">
        <v>31</v>
      </c>
      <c r="M5" s="6" t="s">
        <v>32</v>
      </c>
      <c r="N5" s="5" t="s">
        <v>33</v>
      </c>
      <c r="O5" s="5" t="s">
        <v>34</v>
      </c>
      <c r="P5" s="8" t="s">
        <v>35</v>
      </c>
      <c r="Q5" s="8" t="s">
        <v>36</v>
      </c>
      <c r="R5" s="8" t="s">
        <v>37</v>
      </c>
      <c r="S5" s="8" t="s">
        <v>38</v>
      </c>
      <c r="T5" s="9" t="s">
        <v>39</v>
      </c>
      <c r="U5" s="10" t="s">
        <v>40</v>
      </c>
      <c r="V5" s="11"/>
    </row>
    <row r="6" customFormat="false" ht="27.75" hidden="false" customHeight="true" outlineLevel="0" collapsed="false">
      <c r="A6" s="12" t="s">
        <v>41</v>
      </c>
      <c r="B6" s="13" t="s">
        <v>26</v>
      </c>
      <c r="C6" s="13" t="s">
        <v>27</v>
      </c>
      <c r="D6" s="13" t="s">
        <v>42</v>
      </c>
      <c r="E6" s="13" t="s">
        <v>43</v>
      </c>
      <c r="F6" s="12" t="s">
        <v>44</v>
      </c>
      <c r="G6" s="13" t="n">
        <v>300</v>
      </c>
      <c r="H6" s="13" t="n">
        <v>300</v>
      </c>
      <c r="I6" s="13" t="n">
        <v>1520.5</v>
      </c>
      <c r="J6" s="13" t="n">
        <v>1518</v>
      </c>
      <c r="K6" s="14" t="n">
        <f aca="false">G6*I6</f>
        <v>456150</v>
      </c>
      <c r="L6" s="13" t="s">
        <v>45</v>
      </c>
      <c r="M6" s="13" t="s">
        <v>46</v>
      </c>
      <c r="N6" s="12" t="s">
        <v>33</v>
      </c>
      <c r="O6" s="12" t="s">
        <v>34</v>
      </c>
      <c r="P6" s="8" t="s">
        <v>47</v>
      </c>
      <c r="Q6" s="8" t="s">
        <v>48</v>
      </c>
      <c r="R6" s="15"/>
      <c r="S6" s="15"/>
      <c r="T6" s="16" t="s">
        <v>49</v>
      </c>
      <c r="U6" s="17" t="s">
        <v>50</v>
      </c>
      <c r="V6" s="18" t="s">
        <v>51</v>
      </c>
    </row>
    <row r="7" customFormat="false" ht="27.75" hidden="false" customHeight="true" outlineLevel="0" collapsed="false">
      <c r="A7" s="5" t="s">
        <v>52</v>
      </c>
      <c r="B7" s="6" t="s">
        <v>26</v>
      </c>
      <c r="C7" s="6" t="s">
        <v>27</v>
      </c>
      <c r="D7" s="6" t="s">
        <v>53</v>
      </c>
      <c r="E7" s="6" t="s">
        <v>54</v>
      </c>
      <c r="F7" s="5" t="s">
        <v>30</v>
      </c>
      <c r="G7" s="6" t="n">
        <v>400</v>
      </c>
      <c r="H7" s="6" t="n">
        <v>398</v>
      </c>
      <c r="I7" s="6" t="n">
        <v>475.25</v>
      </c>
      <c r="J7" s="6" t="n">
        <v>475.25</v>
      </c>
      <c r="K7" s="7" t="n">
        <f aca="false">G7*I7</f>
        <v>190100</v>
      </c>
      <c r="L7" s="6" t="s">
        <v>55</v>
      </c>
      <c r="M7" s="6" t="s">
        <v>56</v>
      </c>
      <c r="N7" s="5" t="s">
        <v>33</v>
      </c>
      <c r="O7" s="5" t="s">
        <v>34</v>
      </c>
      <c r="P7" s="8" t="s">
        <v>57</v>
      </c>
      <c r="Q7" s="8" t="s">
        <v>58</v>
      </c>
      <c r="R7" s="19"/>
      <c r="S7" s="19"/>
      <c r="T7" s="16" t="s">
        <v>49</v>
      </c>
      <c r="U7" s="10" t="s">
        <v>50</v>
      </c>
      <c r="V7" s="18" t="s">
        <v>59</v>
      </c>
    </row>
    <row r="8" customFormat="false" ht="27.75" hidden="false" customHeight="true" outlineLevel="0" collapsed="false">
      <c r="A8" s="12" t="s">
        <v>60</v>
      </c>
      <c r="B8" s="13" t="s">
        <v>26</v>
      </c>
      <c r="C8" s="13" t="s">
        <v>27</v>
      </c>
      <c r="D8" s="13" t="s">
        <v>61</v>
      </c>
      <c r="E8" s="13" t="s">
        <v>62</v>
      </c>
      <c r="F8" s="12" t="s">
        <v>44</v>
      </c>
      <c r="G8" s="13" t="n">
        <v>120</v>
      </c>
      <c r="H8" s="13" t="n">
        <v>120</v>
      </c>
      <c r="I8" s="13" t="n">
        <v>2890</v>
      </c>
      <c r="J8" s="13" t="n">
        <v>2890</v>
      </c>
      <c r="K8" s="14" t="n">
        <f aca="false">G8*I8</f>
        <v>346800</v>
      </c>
      <c r="L8" s="13" t="s">
        <v>63</v>
      </c>
      <c r="M8" s="13" t="s">
        <v>64</v>
      </c>
      <c r="N8" s="12" t="s">
        <v>33</v>
      </c>
      <c r="O8" s="12" t="s">
        <v>34</v>
      </c>
      <c r="P8" s="8" t="s">
        <v>65</v>
      </c>
      <c r="Q8" s="8" t="s">
        <v>66</v>
      </c>
      <c r="R8" s="15"/>
      <c r="S8" s="15"/>
      <c r="T8" s="20" t="s">
        <v>67</v>
      </c>
      <c r="U8" s="17" t="s">
        <v>50</v>
      </c>
      <c r="V8" s="18" t="s">
        <v>68</v>
      </c>
    </row>
    <row r="9" customFormat="false" ht="27.75" hidden="false" customHeight="true" outlineLevel="0" collapsed="false">
      <c r="A9" s="5" t="s">
        <v>69</v>
      </c>
      <c r="B9" s="6" t="s">
        <v>70</v>
      </c>
      <c r="C9" s="6" t="s">
        <v>27</v>
      </c>
      <c r="D9" s="6" t="s">
        <v>71</v>
      </c>
      <c r="E9" s="6" t="s">
        <v>72</v>
      </c>
      <c r="F9" s="5" t="s">
        <v>30</v>
      </c>
      <c r="G9" s="6" t="n">
        <v>200</v>
      </c>
      <c r="H9" s="6" t="n">
        <v>200</v>
      </c>
      <c r="I9" s="6" t="n">
        <v>1675</v>
      </c>
      <c r="J9" s="6" t="n">
        <v>1675</v>
      </c>
      <c r="K9" s="7" t="n">
        <f aca="false">G9*I9</f>
        <v>335000</v>
      </c>
      <c r="L9" s="6" t="s">
        <v>73</v>
      </c>
      <c r="M9" s="6" t="s">
        <v>74</v>
      </c>
      <c r="N9" s="5" t="s">
        <v>33</v>
      </c>
      <c r="O9" s="5" t="s">
        <v>26</v>
      </c>
      <c r="P9" s="8" t="s">
        <v>75</v>
      </c>
      <c r="Q9" s="8" t="s">
        <v>76</v>
      </c>
      <c r="R9" s="19"/>
      <c r="S9" s="19"/>
      <c r="T9" s="21" t="s">
        <v>77</v>
      </c>
      <c r="U9" s="10" t="s">
        <v>50</v>
      </c>
      <c r="V9" s="18" t="s">
        <v>78</v>
      </c>
    </row>
    <row r="10" customFormat="false" ht="27.75" hidden="false" customHeight="true" outlineLevel="0" collapsed="false">
      <c r="A10" s="12" t="s">
        <v>79</v>
      </c>
      <c r="B10" s="13" t="s">
        <v>80</v>
      </c>
      <c r="C10" s="13" t="s">
        <v>27</v>
      </c>
      <c r="D10" s="13" t="s">
        <v>81</v>
      </c>
      <c r="E10" s="13" t="s">
        <v>82</v>
      </c>
      <c r="F10" s="12" t="s">
        <v>30</v>
      </c>
      <c r="G10" s="13" t="n">
        <v>150</v>
      </c>
      <c r="H10" s="13" t="n">
        <v>150</v>
      </c>
      <c r="I10" s="13" t="n">
        <v>3920</v>
      </c>
      <c r="J10" s="13" t="n">
        <v>3920</v>
      </c>
      <c r="K10" s="14" t="n">
        <f aca="false">G10*I10</f>
        <v>588000</v>
      </c>
      <c r="L10" s="13" t="s">
        <v>83</v>
      </c>
      <c r="M10" s="13" t="s">
        <v>84</v>
      </c>
      <c r="N10" s="12" t="s">
        <v>33</v>
      </c>
      <c r="O10" s="12" t="s">
        <v>70</v>
      </c>
      <c r="P10" s="8" t="s">
        <v>85</v>
      </c>
      <c r="Q10" s="8" t="s">
        <v>86</v>
      </c>
      <c r="R10" s="8" t="s">
        <v>87</v>
      </c>
      <c r="S10" s="15"/>
      <c r="T10" s="9" t="s">
        <v>39</v>
      </c>
      <c r="U10" s="17" t="s">
        <v>50</v>
      </c>
      <c r="V10" s="18" t="s">
        <v>88</v>
      </c>
    </row>
    <row r="11" customFormat="false" ht="27.75" hidden="false" customHeight="true" outlineLevel="0" collapsed="false">
      <c r="A11" s="5" t="s">
        <v>89</v>
      </c>
      <c r="B11" s="6" t="s">
        <v>80</v>
      </c>
      <c r="C11" s="6" t="s">
        <v>27</v>
      </c>
      <c r="D11" s="6" t="s">
        <v>90</v>
      </c>
      <c r="E11" s="6" t="s">
        <v>91</v>
      </c>
      <c r="F11" s="5" t="s">
        <v>30</v>
      </c>
      <c r="G11" s="6" t="n">
        <v>60</v>
      </c>
      <c r="H11" s="6" t="n">
        <v>60</v>
      </c>
      <c r="I11" s="6" t="n">
        <v>7125</v>
      </c>
      <c r="J11" s="6" t="n">
        <v>7125</v>
      </c>
      <c r="K11" s="7" t="n">
        <f aca="false">G11*I11</f>
        <v>427500</v>
      </c>
      <c r="L11" s="6" t="s">
        <v>92</v>
      </c>
      <c r="M11" s="6" t="s">
        <v>93</v>
      </c>
      <c r="N11" s="5" t="s">
        <v>33</v>
      </c>
      <c r="O11" s="5" t="s">
        <v>70</v>
      </c>
      <c r="P11" s="8" t="s">
        <v>94</v>
      </c>
      <c r="Q11" s="8" t="s">
        <v>95</v>
      </c>
      <c r="R11" s="8" t="s">
        <v>96</v>
      </c>
      <c r="S11" s="19"/>
      <c r="T11" s="9" t="s">
        <v>39</v>
      </c>
      <c r="U11" s="10" t="s">
        <v>50</v>
      </c>
      <c r="V11" s="18" t="s">
        <v>97</v>
      </c>
    </row>
    <row r="12" customFormat="false" ht="27.75" hidden="false" customHeight="true" outlineLevel="0" collapsed="false">
      <c r="A12" s="12" t="s">
        <v>98</v>
      </c>
      <c r="B12" s="13" t="s">
        <v>26</v>
      </c>
      <c r="C12" s="13" t="s">
        <v>99</v>
      </c>
      <c r="D12" s="13" t="s">
        <v>100</v>
      </c>
      <c r="E12" s="13" t="s">
        <v>101</v>
      </c>
      <c r="F12" s="12" t="s">
        <v>30</v>
      </c>
      <c r="G12" s="13" t="n">
        <v>100</v>
      </c>
      <c r="H12" s="13" t="n">
        <v>100</v>
      </c>
      <c r="I12" s="13" t="n">
        <v>10250</v>
      </c>
      <c r="J12" s="13" t="n">
        <v>10250</v>
      </c>
      <c r="K12" s="14" t="n">
        <f aca="false">G12*I12</f>
        <v>1025000</v>
      </c>
      <c r="L12" s="13" t="s">
        <v>31</v>
      </c>
      <c r="M12" s="13" t="s">
        <v>102</v>
      </c>
      <c r="N12" s="12" t="s">
        <v>103</v>
      </c>
      <c r="O12" s="12" t="s">
        <v>34</v>
      </c>
      <c r="P12" s="8" t="s">
        <v>104</v>
      </c>
      <c r="Q12" s="8" t="s">
        <v>105</v>
      </c>
      <c r="R12" s="8" t="s">
        <v>106</v>
      </c>
      <c r="S12" s="15"/>
      <c r="T12" s="22" t="s">
        <v>107</v>
      </c>
      <c r="U12" s="17" t="s">
        <v>108</v>
      </c>
      <c r="V12" s="18"/>
    </row>
    <row r="13" customFormat="false" ht="27.75" hidden="false" customHeight="true" outlineLevel="0" collapsed="false">
      <c r="A13" s="5" t="s">
        <v>109</v>
      </c>
      <c r="B13" s="6" t="s">
        <v>26</v>
      </c>
      <c r="C13" s="6" t="s">
        <v>99</v>
      </c>
      <c r="D13" s="6" t="s">
        <v>110</v>
      </c>
      <c r="E13" s="6" t="s">
        <v>111</v>
      </c>
      <c r="F13" s="5" t="s">
        <v>44</v>
      </c>
      <c r="G13" s="6" t="n">
        <v>50</v>
      </c>
      <c r="H13" s="6" t="n">
        <v>50</v>
      </c>
      <c r="I13" s="6" t="n">
        <v>99500</v>
      </c>
      <c r="J13" s="6" t="n">
        <v>99500</v>
      </c>
      <c r="K13" s="7" t="n">
        <f aca="false">G13*I13</f>
        <v>4975000</v>
      </c>
      <c r="L13" s="6" t="s">
        <v>112</v>
      </c>
      <c r="M13" s="6" t="s">
        <v>113</v>
      </c>
      <c r="N13" s="5" t="s">
        <v>103</v>
      </c>
      <c r="O13" s="5" t="s">
        <v>34</v>
      </c>
      <c r="P13" s="8" t="s">
        <v>114</v>
      </c>
      <c r="Q13" s="8" t="s">
        <v>115</v>
      </c>
      <c r="R13" s="19"/>
      <c r="S13" s="19"/>
      <c r="T13" s="23" t="s">
        <v>116</v>
      </c>
      <c r="U13" s="10" t="s">
        <v>108</v>
      </c>
      <c r="V13" s="18"/>
    </row>
    <row r="14" customFormat="false" ht="27.75" hidden="false" customHeight="true" outlineLevel="0" collapsed="false">
      <c r="A14" s="12" t="s">
        <v>117</v>
      </c>
      <c r="B14" s="13" t="s">
        <v>118</v>
      </c>
      <c r="C14" s="13" t="s">
        <v>99</v>
      </c>
      <c r="D14" s="13" t="s">
        <v>119</v>
      </c>
      <c r="E14" s="13" t="s">
        <v>120</v>
      </c>
      <c r="F14" s="12" t="s">
        <v>30</v>
      </c>
      <c r="G14" s="13" t="n">
        <v>25</v>
      </c>
      <c r="H14" s="13" t="n">
        <v>25</v>
      </c>
      <c r="I14" s="13" t="n">
        <v>100250</v>
      </c>
      <c r="J14" s="13" t="n">
        <v>100250</v>
      </c>
      <c r="K14" s="14" t="n">
        <f aca="false">G14*I14</f>
        <v>2506250</v>
      </c>
      <c r="L14" s="13" t="s">
        <v>121</v>
      </c>
      <c r="M14" s="13" t="s">
        <v>46</v>
      </c>
      <c r="N14" s="12" t="s">
        <v>103</v>
      </c>
      <c r="O14" s="12" t="s">
        <v>80</v>
      </c>
      <c r="P14" s="8" t="s">
        <v>122</v>
      </c>
      <c r="Q14" s="8" t="s">
        <v>123</v>
      </c>
      <c r="R14" s="8" t="s">
        <v>124</v>
      </c>
      <c r="S14" s="8" t="s">
        <v>125</v>
      </c>
      <c r="T14" s="9" t="s">
        <v>39</v>
      </c>
      <c r="U14" s="17" t="s">
        <v>40</v>
      </c>
      <c r="V14" s="18"/>
    </row>
    <row r="15" customFormat="false" ht="27.75" hidden="false" customHeight="true" outlineLevel="0" collapsed="false">
      <c r="A15" s="5" t="s">
        <v>126</v>
      </c>
      <c r="B15" s="6" t="s">
        <v>26</v>
      </c>
      <c r="C15" s="6" t="s">
        <v>99</v>
      </c>
      <c r="D15" s="6" t="s">
        <v>127</v>
      </c>
      <c r="E15" s="6" t="s">
        <v>128</v>
      </c>
      <c r="F15" s="5" t="s">
        <v>44</v>
      </c>
      <c r="G15" s="6" t="n">
        <v>30</v>
      </c>
      <c r="H15" s="6" t="n">
        <v>30</v>
      </c>
      <c r="I15" s="6" t="n">
        <v>101200</v>
      </c>
      <c r="J15" s="6" t="n">
        <v>101200</v>
      </c>
      <c r="K15" s="7" t="n">
        <f aca="false">G15*I15</f>
        <v>3036000</v>
      </c>
      <c r="L15" s="6" t="s">
        <v>129</v>
      </c>
      <c r="M15" s="6" t="s">
        <v>102</v>
      </c>
      <c r="N15" s="5" t="s">
        <v>103</v>
      </c>
      <c r="O15" s="5" t="s">
        <v>34</v>
      </c>
      <c r="P15" s="8" t="s">
        <v>106</v>
      </c>
      <c r="Q15" s="8" t="s">
        <v>130</v>
      </c>
      <c r="R15" s="8" t="s">
        <v>131</v>
      </c>
      <c r="S15" s="19"/>
      <c r="T15" s="22" t="s">
        <v>107</v>
      </c>
      <c r="U15" s="10" t="s">
        <v>132</v>
      </c>
      <c r="V15" s="18"/>
    </row>
    <row r="16" customFormat="false" ht="27.75" hidden="false" customHeight="true" outlineLevel="0" collapsed="false">
      <c r="A16" s="12" t="s">
        <v>133</v>
      </c>
      <c r="B16" s="13" t="s">
        <v>26</v>
      </c>
      <c r="C16" s="13" t="s">
        <v>134</v>
      </c>
      <c r="D16" s="13" t="s">
        <v>135</v>
      </c>
      <c r="E16" s="13" t="s">
        <v>136</v>
      </c>
      <c r="F16" s="12" t="s">
        <v>44</v>
      </c>
      <c r="G16" s="13" t="n">
        <v>50</v>
      </c>
      <c r="H16" s="13" t="n">
        <v>50</v>
      </c>
      <c r="I16" s="13" t="n">
        <v>22150</v>
      </c>
      <c r="J16" s="13" t="n">
        <v>22150</v>
      </c>
      <c r="K16" s="14" t="n">
        <f aca="false">G16*I16</f>
        <v>1107500</v>
      </c>
      <c r="L16" s="13" t="s">
        <v>137</v>
      </c>
      <c r="M16" s="13" t="s">
        <v>138</v>
      </c>
      <c r="N16" s="12" t="s">
        <v>139</v>
      </c>
      <c r="O16" s="12" t="s">
        <v>26</v>
      </c>
      <c r="P16" s="8" t="s">
        <v>140</v>
      </c>
      <c r="Q16" s="8" t="s">
        <v>141</v>
      </c>
      <c r="R16" s="8" t="s">
        <v>142</v>
      </c>
      <c r="S16" s="8" t="s">
        <v>143</v>
      </c>
      <c r="T16" s="9" t="s">
        <v>39</v>
      </c>
      <c r="U16" s="17" t="s">
        <v>40</v>
      </c>
      <c r="V16" s="18"/>
    </row>
    <row r="17" customFormat="false" ht="27.75" hidden="false" customHeight="true" outlineLevel="0" collapsed="false">
      <c r="A17" s="5" t="s">
        <v>144</v>
      </c>
      <c r="B17" s="6" t="s">
        <v>26</v>
      </c>
      <c r="C17" s="6" t="s">
        <v>134</v>
      </c>
      <c r="D17" s="6" t="s">
        <v>145</v>
      </c>
      <c r="E17" s="6" t="s">
        <v>136</v>
      </c>
      <c r="F17" s="5" t="s">
        <v>30</v>
      </c>
      <c r="G17" s="6" t="n">
        <v>200</v>
      </c>
      <c r="H17" s="6" t="n">
        <v>200</v>
      </c>
      <c r="I17" s="6" t="n">
        <v>83.42</v>
      </c>
      <c r="J17" s="6" t="n">
        <v>83.42</v>
      </c>
      <c r="K17" s="7" t="n">
        <f aca="false">G17*I17</f>
        <v>16684</v>
      </c>
      <c r="L17" s="6" t="s">
        <v>31</v>
      </c>
      <c r="M17" s="6" t="s">
        <v>146</v>
      </c>
      <c r="N17" s="5" t="s">
        <v>139</v>
      </c>
      <c r="O17" s="5" t="s">
        <v>26</v>
      </c>
      <c r="P17" s="8" t="s">
        <v>142</v>
      </c>
      <c r="Q17" s="8" t="s">
        <v>147</v>
      </c>
      <c r="R17" s="8" t="s">
        <v>148</v>
      </c>
      <c r="S17" s="8" t="s">
        <v>149</v>
      </c>
      <c r="T17" s="9" t="s">
        <v>39</v>
      </c>
      <c r="U17" s="10" t="s">
        <v>40</v>
      </c>
      <c r="V17" s="18"/>
    </row>
    <row r="18" customFormat="false" ht="27.75" hidden="false" customHeight="true" outlineLevel="0" collapsed="false">
      <c r="A18" s="12" t="s">
        <v>150</v>
      </c>
      <c r="B18" s="13" t="s">
        <v>70</v>
      </c>
      <c r="C18" s="13" t="s">
        <v>134</v>
      </c>
      <c r="D18" s="13" t="s">
        <v>151</v>
      </c>
      <c r="E18" s="13" t="s">
        <v>136</v>
      </c>
      <c r="F18" s="12" t="s">
        <v>30</v>
      </c>
      <c r="G18" s="13" t="n">
        <v>10</v>
      </c>
      <c r="H18" s="13" t="n">
        <v>10</v>
      </c>
      <c r="I18" s="13" t="n">
        <v>185</v>
      </c>
      <c r="J18" s="13" t="n">
        <v>185</v>
      </c>
      <c r="K18" s="14" t="n">
        <f aca="false">G18*I18</f>
        <v>1850</v>
      </c>
      <c r="L18" s="13" t="s">
        <v>45</v>
      </c>
      <c r="M18" s="13" t="s">
        <v>138</v>
      </c>
      <c r="N18" s="12" t="s">
        <v>139</v>
      </c>
      <c r="O18" s="12" t="s">
        <v>70</v>
      </c>
      <c r="P18" s="8" t="s">
        <v>152</v>
      </c>
      <c r="Q18" s="8" t="s">
        <v>153</v>
      </c>
      <c r="R18" s="8" t="s">
        <v>154</v>
      </c>
      <c r="S18" s="8" t="s">
        <v>155</v>
      </c>
      <c r="T18" s="9" t="s">
        <v>39</v>
      </c>
      <c r="U18" s="17" t="s">
        <v>40</v>
      </c>
      <c r="V18" s="18"/>
    </row>
    <row r="19" customFormat="false" ht="27.75" hidden="false" customHeight="true" outlineLevel="0" collapsed="false">
      <c r="A19" s="5" t="s">
        <v>156</v>
      </c>
      <c r="B19" s="6" t="s">
        <v>70</v>
      </c>
      <c r="C19" s="6" t="s">
        <v>27</v>
      </c>
      <c r="D19" s="6" t="s">
        <v>157</v>
      </c>
      <c r="E19" s="6" t="s">
        <v>158</v>
      </c>
      <c r="F19" s="5" t="s">
        <v>44</v>
      </c>
      <c r="G19" s="6" t="n">
        <v>80</v>
      </c>
      <c r="H19" s="6" t="n">
        <v>80</v>
      </c>
      <c r="I19" s="6" t="n">
        <v>12340</v>
      </c>
      <c r="J19" s="6" t="n">
        <v>12340</v>
      </c>
      <c r="K19" s="7" t="n">
        <f aca="false">G19*I19</f>
        <v>987200</v>
      </c>
      <c r="L19" s="6" t="s">
        <v>159</v>
      </c>
      <c r="M19" s="6" t="s">
        <v>160</v>
      </c>
      <c r="N19" s="5" t="s">
        <v>33</v>
      </c>
      <c r="O19" s="5" t="s">
        <v>26</v>
      </c>
      <c r="P19" s="8" t="s">
        <v>161</v>
      </c>
      <c r="Q19" s="8" t="s">
        <v>162</v>
      </c>
      <c r="R19" s="8" t="s">
        <v>163</v>
      </c>
      <c r="S19" s="19"/>
      <c r="T19" s="16" t="s">
        <v>49</v>
      </c>
      <c r="U19" s="10" t="s">
        <v>50</v>
      </c>
      <c r="V19" s="18" t="s">
        <v>164</v>
      </c>
    </row>
    <row r="20" customFormat="false" ht="19.5" hidden="false" customHeight="true" outlineLevel="0" collapsed="false">
      <c r="A20" s="24" t="s">
        <v>165</v>
      </c>
      <c r="B20" s="24"/>
      <c r="C20" s="24"/>
      <c r="D20" s="24"/>
      <c r="E20" s="24"/>
      <c r="F20" s="24"/>
      <c r="G20" s="25" t="n">
        <f aca="false">SUM(G5:G19)</f>
        <v>2275</v>
      </c>
      <c r="H20" s="25" t="n">
        <f aca="false">SUM(H5:H19)</f>
        <v>2273</v>
      </c>
      <c r="I20" s="26"/>
      <c r="J20" s="26"/>
      <c r="K20" s="27" t="n">
        <f aca="false">SUM(K5:K19)</f>
        <v>17424034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</row>
  </sheetData>
  <mergeCells count="4">
    <mergeCell ref="A1:V1"/>
    <mergeCell ref="A2:V2"/>
    <mergeCell ref="A3:V3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421875" defaultRowHeight="15" zeroHeight="false" outlineLevelRow="0" outlineLevelCol="0"/>
  <cols>
    <col collapsed="false" customWidth="true" hidden="false" outlineLevel="0" max="1" min="1" style="0" width="2.96"/>
    <col collapsed="false" customWidth="true" hidden="false" outlineLevel="0" max="2" min="2" style="0" width="20.05"/>
    <col collapsed="false" customWidth="true" hidden="false" outlineLevel="0" max="3" min="3" style="0" width="11.97"/>
    <col collapsed="false" customWidth="true" hidden="false" outlineLevel="0" max="4" min="4" style="0" width="18.03"/>
    <col collapsed="false" customWidth="true" hidden="false" outlineLevel="0" max="5" min="5" style="0" width="13.99"/>
    <col collapsed="false" customWidth="true" hidden="false" outlineLevel="0" max="6" min="6" style="0" width="11.97"/>
    <col collapsed="false" customWidth="true" hidden="false" outlineLevel="0" max="14" min="7" style="0" width="2.96"/>
  </cols>
  <sheetData>
    <row r="1" customFormat="false" ht="27.75" hidden="false" customHeight="true" outlineLevel="0" collapsed="false">
      <c r="A1" s="28" t="s">
        <v>166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customFormat="false" ht="15.75" hidden="false" customHeight="true" outlineLevel="0" collapsed="false">
      <c r="A2" s="29" t="s">
        <v>167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</row>
    <row r="4" customFormat="false" ht="18" hidden="false" customHeight="true" outlineLevel="0" collapsed="false">
      <c r="B4" s="25" t="s">
        <v>168</v>
      </c>
      <c r="D4" s="30" t="s">
        <v>169</v>
      </c>
      <c r="F4" s="31" t="s">
        <v>170</v>
      </c>
      <c r="H4" s="32" t="s">
        <v>171</v>
      </c>
      <c r="J4" s="33" t="s">
        <v>172</v>
      </c>
      <c r="L4" s="34" t="s">
        <v>108</v>
      </c>
    </row>
    <row r="5" customFormat="false" ht="36" hidden="false" customHeight="true" outlineLevel="0" collapsed="false">
      <c r="B5" s="35" t="n">
        <f aca="false">COUNTA('Trade Lifecycle Tracker'!A5:A19)</f>
        <v>15</v>
      </c>
      <c r="D5" s="36" t="n">
        <f aca="false">SUM('Trade Lifecycle Tracker'!K5:K19)</f>
        <v>17424034</v>
      </c>
      <c r="F5" s="37" t="n">
        <f aca="false">COUNTIF('Trade Lifecycle Tracker'!U5:U19,"Completed – Settled")</f>
        <v>5</v>
      </c>
      <c r="H5" s="38" t="n">
        <f aca="false">COUNTIF('Trade Lifecycle Tracker'!U5:U19,"Break – Investigation")</f>
        <v>7</v>
      </c>
      <c r="J5" s="39" t="n">
        <f aca="false">COUNTIF('Trade Lifecycle Tracker'!U5:U19,"Pending Match")</f>
        <v>0</v>
      </c>
      <c r="L5" s="40" t="n">
        <f aca="false">COUNTIF('Trade Lifecycle Tracker'!U5:U19,"In Progress")</f>
        <v>2</v>
      </c>
    </row>
    <row r="7" customFormat="false" ht="7.5" hidden="false" customHeight="true" outlineLevel="0" collapsed="false"/>
    <row r="8" customFormat="false" ht="15" hidden="false" customHeight="false" outlineLevel="0" collapsed="false">
      <c r="B8" s="41" t="s">
        <v>173</v>
      </c>
      <c r="C8" s="41" t="s">
        <v>174</v>
      </c>
      <c r="D8" s="41" t="s">
        <v>13</v>
      </c>
      <c r="E8" s="41" t="s">
        <v>175</v>
      </c>
    </row>
    <row r="9" customFormat="false" ht="15" hidden="false" customHeight="false" outlineLevel="0" collapsed="false">
      <c r="B9" s="6" t="s">
        <v>27</v>
      </c>
      <c r="C9" s="5" t="n">
        <f aca="false">COUNTIF('Trade Lifecycle Tracker'!C5:C19,"Equity")</f>
        <v>8</v>
      </c>
      <c r="D9" s="42" t="n">
        <f aca="false">SUMIF('Trade Lifecycle Tracker'!C5:C19,"Equity",'Trade Lifecycle Tracker'!K5:K19)</f>
        <v>4755750</v>
      </c>
      <c r="E9" s="43" t="n">
        <f aca="false">C9/$C$12</f>
        <v>0.533333333333333</v>
      </c>
    </row>
    <row r="10" customFormat="false" ht="15" hidden="false" customHeight="false" outlineLevel="0" collapsed="false">
      <c r="B10" s="13" t="s">
        <v>99</v>
      </c>
      <c r="C10" s="12" t="n">
        <f aca="false">COUNTIF('Trade Lifecycle Tracker'!C5:C19,"Fixed Income")</f>
        <v>4</v>
      </c>
      <c r="D10" s="44" t="n">
        <f aca="false">SUMIF('Trade Lifecycle Tracker'!C5:C19,"Fixed Income",'Trade Lifecycle Tracker'!K5:K19)</f>
        <v>11542250</v>
      </c>
      <c r="E10" s="45" t="n">
        <f aca="false">C10/$C$12</f>
        <v>0.266666666666667</v>
      </c>
    </row>
    <row r="11" customFormat="false" ht="15" hidden="false" customHeight="false" outlineLevel="0" collapsed="false">
      <c r="B11" s="6" t="s">
        <v>134</v>
      </c>
      <c r="C11" s="5" t="n">
        <f aca="false">COUNTIF('Trade Lifecycle Tracker'!C5:C19,"Derivatives")</f>
        <v>3</v>
      </c>
      <c r="D11" s="42" t="n">
        <f aca="false">SUMIF('Trade Lifecycle Tracker'!C5:C19,"Derivatives",'Trade Lifecycle Tracker'!K5:K19)</f>
        <v>1126034</v>
      </c>
      <c r="E11" s="43" t="n">
        <f aca="false">C11/$C$12</f>
        <v>0.2</v>
      </c>
    </row>
    <row r="12" customFormat="false" ht="15" hidden="false" customHeight="false" outlineLevel="0" collapsed="false">
      <c r="B12" s="25" t="s">
        <v>176</v>
      </c>
      <c r="C12" s="25" t="n">
        <f aca="false">SUM(C9:C11)</f>
        <v>15</v>
      </c>
      <c r="D12" s="46" t="n">
        <f aca="false">SUM(D9:D11)</f>
        <v>17424034</v>
      </c>
      <c r="E12" s="47" t="n">
        <f aca="false">SUM(E9:E11)</f>
        <v>1</v>
      </c>
    </row>
    <row r="14" customFormat="false" ht="19.5" hidden="false" customHeight="true" outlineLevel="0" collapsed="false">
      <c r="B14" s="48" t="s">
        <v>177</v>
      </c>
      <c r="C14" s="48"/>
      <c r="D14" s="48"/>
      <c r="E14" s="48"/>
    </row>
    <row r="15" customFormat="false" ht="15" hidden="false" customHeight="false" outlineLevel="0" collapsed="false">
      <c r="B15" s="49" t="s">
        <v>178</v>
      </c>
      <c r="C15" s="49" t="s">
        <v>174</v>
      </c>
      <c r="D15" s="49" t="s">
        <v>179</v>
      </c>
      <c r="E15" s="49" t="s">
        <v>180</v>
      </c>
    </row>
    <row r="16" customFormat="false" ht="15" hidden="false" customHeight="false" outlineLevel="0" collapsed="false">
      <c r="B16" s="6" t="s">
        <v>40</v>
      </c>
      <c r="C16" s="5" t="n">
        <f aca="false">COUNTIF('Trade Lifecycle Tracker'!U5:U19,"Completed – Settled")</f>
        <v>5</v>
      </c>
      <c r="D16" s="43" t="n">
        <f aca="false">C16/B5</f>
        <v>0.333333333333333</v>
      </c>
      <c r="E16" s="50" t="s">
        <v>181</v>
      </c>
    </row>
    <row r="17" customFormat="false" ht="15" hidden="false" customHeight="false" outlineLevel="0" collapsed="false">
      <c r="B17" s="13" t="s">
        <v>108</v>
      </c>
      <c r="C17" s="12" t="n">
        <f aca="false">COUNTIF('Trade Lifecycle Tracker'!U5:U19,"In Progress")</f>
        <v>2</v>
      </c>
      <c r="D17" s="45" t="n">
        <f aca="false">C17/B5</f>
        <v>0.133333333333333</v>
      </c>
      <c r="E17" s="51" t="s">
        <v>182</v>
      </c>
    </row>
    <row r="18" customFormat="false" ht="15" hidden="false" customHeight="false" outlineLevel="0" collapsed="false">
      <c r="B18" s="6" t="s">
        <v>50</v>
      </c>
      <c r="C18" s="5" t="n">
        <f aca="false">COUNTIF('Trade Lifecycle Tracker'!U5:U19,"Break – Investigation")</f>
        <v>7</v>
      </c>
      <c r="D18" s="43" t="n">
        <f aca="false">C18/B5</f>
        <v>0.466666666666667</v>
      </c>
      <c r="E18" s="52" t="s">
        <v>183</v>
      </c>
    </row>
    <row r="19" customFormat="false" ht="15" hidden="false" customHeight="false" outlineLevel="0" collapsed="false">
      <c r="B19" s="13" t="s">
        <v>132</v>
      </c>
      <c r="C19" s="12" t="n">
        <f aca="false">COUNTIF('Trade Lifecycle Tracker'!U5:U19,"Ready for Settlement")</f>
        <v>1</v>
      </c>
      <c r="D19" s="45" t="n">
        <f aca="false">C19/B5</f>
        <v>0.0666666666666667</v>
      </c>
      <c r="E19" s="53" t="s">
        <v>184</v>
      </c>
    </row>
    <row r="20" customFormat="false" ht="15" hidden="false" customHeight="false" outlineLevel="0" collapsed="false">
      <c r="B20" s="6" t="s">
        <v>172</v>
      </c>
      <c r="C20" s="5" t="n">
        <f aca="false">COUNTIF('Trade Lifecycle Tracker'!U5:U19,"Pending Match")</f>
        <v>0</v>
      </c>
      <c r="D20" s="43" t="n">
        <f aca="false">C20/B5</f>
        <v>0</v>
      </c>
      <c r="E20" s="54" t="s">
        <v>185</v>
      </c>
    </row>
  </sheetData>
  <mergeCells count="3">
    <mergeCell ref="A1:N1"/>
    <mergeCell ref="A2:N2"/>
    <mergeCell ref="B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421875" defaultRowHeight="15" zeroHeight="false" outlineLevelRow="0" outlineLevelCol="0"/>
  <cols>
    <col collapsed="false" customWidth="true" hidden="false" outlineLevel="0" max="1" min="1" style="0" width="6.99"/>
    <col collapsed="false" customWidth="true" hidden="false" outlineLevel="0" max="2" min="2" style="0" width="18.03"/>
    <col collapsed="false" customWidth="true" hidden="false" outlineLevel="0" max="3" min="3" style="0" width="37.94"/>
    <col collapsed="false" customWidth="true" hidden="false" outlineLevel="0" max="4" min="4" style="0" width="34.97"/>
    <col collapsed="false" customWidth="true" hidden="false" outlineLevel="0" max="5" min="5" style="0" width="37.94"/>
    <col collapsed="false" customWidth="true" hidden="false" outlineLevel="0" max="6" min="6" style="0" width="27.98"/>
  </cols>
  <sheetData>
    <row r="1" customFormat="false" ht="25.5" hidden="false" customHeight="true" outlineLevel="0" collapsed="false">
      <c r="A1" s="55" t="s">
        <v>186</v>
      </c>
      <c r="B1" s="55"/>
      <c r="C1" s="55"/>
      <c r="D1" s="55"/>
      <c r="E1" s="55"/>
      <c r="F1" s="55"/>
    </row>
    <row r="2" customFormat="false" ht="18" hidden="false" customHeight="true" outlineLevel="0" collapsed="false">
      <c r="A2" s="41" t="s">
        <v>187</v>
      </c>
      <c r="B2" s="41" t="s">
        <v>188</v>
      </c>
      <c r="C2" s="41" t="s">
        <v>189</v>
      </c>
      <c r="D2" s="41" t="s">
        <v>190</v>
      </c>
      <c r="E2" s="41" t="s">
        <v>191</v>
      </c>
      <c r="F2" s="41" t="s">
        <v>192</v>
      </c>
    </row>
    <row r="3" customFormat="false" ht="45" hidden="false" customHeight="true" outlineLevel="0" collapsed="false">
      <c r="A3" s="56" t="s">
        <v>193</v>
      </c>
      <c r="B3" s="57" t="s">
        <v>194</v>
      </c>
      <c r="C3" s="57" t="s">
        <v>195</v>
      </c>
      <c r="D3" s="57" t="s">
        <v>196</v>
      </c>
      <c r="E3" s="57" t="s">
        <v>197</v>
      </c>
      <c r="F3" s="58" t="s">
        <v>198</v>
      </c>
    </row>
    <row r="4" customFormat="false" ht="45" hidden="false" customHeight="true" outlineLevel="0" collapsed="false">
      <c r="A4" s="59" t="s">
        <v>199</v>
      </c>
      <c r="B4" s="60" t="s">
        <v>200</v>
      </c>
      <c r="C4" s="60" t="s">
        <v>201</v>
      </c>
      <c r="D4" s="60" t="s">
        <v>202</v>
      </c>
      <c r="E4" s="60" t="s">
        <v>203</v>
      </c>
      <c r="F4" s="61" t="s">
        <v>204</v>
      </c>
    </row>
    <row r="5" customFormat="false" ht="45" hidden="false" customHeight="true" outlineLevel="0" collapsed="false">
      <c r="A5" s="62" t="s">
        <v>205</v>
      </c>
      <c r="B5" s="57" t="s">
        <v>206</v>
      </c>
      <c r="C5" s="57" t="s">
        <v>207</v>
      </c>
      <c r="D5" s="57" t="s">
        <v>208</v>
      </c>
      <c r="E5" s="57" t="s">
        <v>209</v>
      </c>
      <c r="F5" s="58" t="s">
        <v>210</v>
      </c>
    </row>
    <row r="6" customFormat="false" ht="45" hidden="false" customHeight="true" outlineLevel="0" collapsed="false">
      <c r="A6" s="63" t="s">
        <v>211</v>
      </c>
      <c r="B6" s="60" t="s">
        <v>212</v>
      </c>
      <c r="C6" s="60" t="s">
        <v>213</v>
      </c>
      <c r="D6" s="60" t="s">
        <v>214</v>
      </c>
      <c r="E6" s="60" t="s">
        <v>215</v>
      </c>
      <c r="F6" s="61" t="s">
        <v>216</v>
      </c>
    </row>
    <row r="7" customFormat="false" ht="45" hidden="false" customHeight="true" outlineLevel="0" collapsed="false">
      <c r="A7" s="64" t="s">
        <v>217</v>
      </c>
      <c r="B7" s="57" t="s">
        <v>218</v>
      </c>
      <c r="C7" s="57" t="s">
        <v>219</v>
      </c>
      <c r="D7" s="57" t="s">
        <v>220</v>
      </c>
      <c r="E7" s="57" t="s">
        <v>221</v>
      </c>
      <c r="F7" s="58" t="s">
        <v>222</v>
      </c>
    </row>
    <row r="8" customFormat="false" ht="45" hidden="false" customHeight="true" outlineLevel="0" collapsed="false">
      <c r="A8" s="65" t="s">
        <v>223</v>
      </c>
      <c r="B8" s="60" t="s">
        <v>224</v>
      </c>
      <c r="C8" s="60" t="s">
        <v>225</v>
      </c>
      <c r="D8" s="60" t="s">
        <v>226</v>
      </c>
      <c r="E8" s="60" t="s">
        <v>227</v>
      </c>
      <c r="F8" s="61" t="s">
        <v>228</v>
      </c>
    </row>
    <row r="9" customFormat="false" ht="45" hidden="false" customHeight="true" outlineLevel="0" collapsed="false">
      <c r="A9" s="66" t="s">
        <v>229</v>
      </c>
      <c r="B9" s="57" t="s">
        <v>230</v>
      </c>
      <c r="C9" s="57" t="s">
        <v>231</v>
      </c>
      <c r="D9" s="57" t="s">
        <v>232</v>
      </c>
      <c r="E9" s="57" t="s">
        <v>233</v>
      </c>
      <c r="F9" s="58" t="s">
        <v>234</v>
      </c>
    </row>
    <row r="10" customFormat="false" ht="45" hidden="false" customHeight="true" outlineLevel="0" collapsed="false">
      <c r="A10" s="67" t="s">
        <v>235</v>
      </c>
      <c r="B10" s="60" t="s">
        <v>236</v>
      </c>
      <c r="C10" s="60" t="s">
        <v>237</v>
      </c>
      <c r="D10" s="60" t="s">
        <v>238</v>
      </c>
      <c r="E10" s="60" t="s">
        <v>239</v>
      </c>
      <c r="F10" s="61" t="s">
        <v>240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421875" defaultRowHeight="15" zeroHeight="false" outlineLevelRow="0" outlineLevelCol="0"/>
  <cols>
    <col collapsed="false" customWidth="true" hidden="false" outlineLevel="0" max="1" min="1" style="0" width="4.03"/>
    <col collapsed="false" customWidth="true" hidden="false" outlineLevel="0" max="2" min="2" style="0" width="22.06"/>
    <col collapsed="false" customWidth="true" hidden="false" outlineLevel="0" max="3" min="3" style="0" width="18.03"/>
    <col collapsed="false" customWidth="true" hidden="false" outlineLevel="0" max="4" min="4" style="0" width="39.96"/>
    <col collapsed="false" customWidth="true" hidden="false" outlineLevel="0" max="5" min="5" style="0" width="34.97"/>
    <col collapsed="false" customWidth="true" hidden="false" outlineLevel="0" max="6" min="6" style="0" width="45.06"/>
    <col collapsed="false" customWidth="true" hidden="false" outlineLevel="0" max="7" min="7" style="0" width="11.97"/>
  </cols>
  <sheetData>
    <row r="1" customFormat="false" ht="25.5" hidden="false" customHeight="true" outlineLevel="0" collapsed="false">
      <c r="A1" s="68" t="s">
        <v>241</v>
      </c>
      <c r="B1" s="68"/>
      <c r="C1" s="68"/>
      <c r="D1" s="68"/>
      <c r="E1" s="68"/>
      <c r="F1" s="68"/>
      <c r="G1" s="68"/>
    </row>
    <row r="2" customFormat="false" ht="15.75" hidden="false" customHeight="true" outlineLevel="0" collapsed="false">
      <c r="A2" s="69" t="s">
        <v>242</v>
      </c>
      <c r="B2" s="69"/>
      <c r="C2" s="69"/>
      <c r="D2" s="69"/>
      <c r="E2" s="69"/>
      <c r="F2" s="69"/>
      <c r="G2" s="69"/>
    </row>
    <row r="3" customFormat="false" ht="19.5" hidden="false" customHeight="true" outlineLevel="0" collapsed="false">
      <c r="A3" s="70" t="s">
        <v>243</v>
      </c>
      <c r="B3" s="70" t="s">
        <v>244</v>
      </c>
      <c r="C3" s="70" t="s">
        <v>187</v>
      </c>
      <c r="D3" s="70" t="s">
        <v>245</v>
      </c>
      <c r="E3" s="70" t="s">
        <v>246</v>
      </c>
      <c r="F3" s="70" t="s">
        <v>247</v>
      </c>
      <c r="G3" s="70" t="s">
        <v>248</v>
      </c>
    </row>
    <row r="4" customFormat="false" ht="54.75" hidden="false" customHeight="true" outlineLevel="0" collapsed="false">
      <c r="A4" s="58" t="n">
        <v>1</v>
      </c>
      <c r="B4" s="57" t="s">
        <v>249</v>
      </c>
      <c r="C4" s="58" t="s">
        <v>49</v>
      </c>
      <c r="D4" s="57" t="s">
        <v>250</v>
      </c>
      <c r="E4" s="57" t="s">
        <v>251</v>
      </c>
      <c r="F4" s="57" t="s">
        <v>252</v>
      </c>
      <c r="G4" s="33" t="s">
        <v>253</v>
      </c>
    </row>
    <row r="5" customFormat="false" ht="54.75" hidden="false" customHeight="true" outlineLevel="0" collapsed="false">
      <c r="A5" s="61" t="n">
        <v>2</v>
      </c>
      <c r="B5" s="60" t="s">
        <v>254</v>
      </c>
      <c r="C5" s="61" t="s">
        <v>49</v>
      </c>
      <c r="D5" s="60" t="s">
        <v>255</v>
      </c>
      <c r="E5" s="60" t="s">
        <v>256</v>
      </c>
      <c r="F5" s="60" t="s">
        <v>257</v>
      </c>
      <c r="G5" s="33" t="s">
        <v>253</v>
      </c>
    </row>
    <row r="6" customFormat="false" ht="54.75" hidden="false" customHeight="true" outlineLevel="0" collapsed="false">
      <c r="A6" s="58" t="n">
        <v>3</v>
      </c>
      <c r="B6" s="57" t="s">
        <v>258</v>
      </c>
      <c r="C6" s="58" t="s">
        <v>67</v>
      </c>
      <c r="D6" s="57" t="s">
        <v>259</v>
      </c>
      <c r="E6" s="57" t="s">
        <v>260</v>
      </c>
      <c r="F6" s="57" t="s">
        <v>261</v>
      </c>
      <c r="G6" s="32" t="s">
        <v>262</v>
      </c>
    </row>
    <row r="7" customFormat="false" ht="54.75" hidden="false" customHeight="true" outlineLevel="0" collapsed="false">
      <c r="A7" s="61" t="n">
        <v>4</v>
      </c>
      <c r="B7" s="60" t="s">
        <v>263</v>
      </c>
      <c r="C7" s="61" t="s">
        <v>77</v>
      </c>
      <c r="D7" s="60" t="s">
        <v>264</v>
      </c>
      <c r="E7" s="60" t="s">
        <v>265</v>
      </c>
      <c r="F7" s="60" t="s">
        <v>266</v>
      </c>
      <c r="G7" s="33" t="s">
        <v>253</v>
      </c>
    </row>
    <row r="8" customFormat="false" ht="54.75" hidden="false" customHeight="true" outlineLevel="0" collapsed="false">
      <c r="A8" s="58" t="n">
        <v>5</v>
      </c>
      <c r="B8" s="57" t="s">
        <v>267</v>
      </c>
      <c r="C8" s="58" t="s">
        <v>39</v>
      </c>
      <c r="D8" s="57" t="s">
        <v>268</v>
      </c>
      <c r="E8" s="57" t="s">
        <v>269</v>
      </c>
      <c r="F8" s="57" t="s">
        <v>270</v>
      </c>
      <c r="G8" s="32" t="s">
        <v>262</v>
      </c>
    </row>
    <row r="9" customFormat="false" ht="54.75" hidden="false" customHeight="true" outlineLevel="0" collapsed="false">
      <c r="A9" s="61" t="n">
        <v>6</v>
      </c>
      <c r="B9" s="60" t="s">
        <v>271</v>
      </c>
      <c r="C9" s="61" t="s">
        <v>39</v>
      </c>
      <c r="D9" s="60" t="s">
        <v>272</v>
      </c>
      <c r="E9" s="60" t="s">
        <v>273</v>
      </c>
      <c r="F9" s="60" t="s">
        <v>274</v>
      </c>
      <c r="G9" s="33" t="s">
        <v>253</v>
      </c>
    </row>
    <row r="10" customFormat="false" ht="54.75" hidden="false" customHeight="true" outlineLevel="0" collapsed="false">
      <c r="A10" s="58" t="n">
        <v>7</v>
      </c>
      <c r="B10" s="57" t="s">
        <v>275</v>
      </c>
      <c r="C10" s="58" t="s">
        <v>49</v>
      </c>
      <c r="D10" s="57" t="s">
        <v>276</v>
      </c>
      <c r="E10" s="57" t="s">
        <v>277</v>
      </c>
      <c r="F10" s="57" t="s">
        <v>278</v>
      </c>
      <c r="G10" s="30" t="s">
        <v>279</v>
      </c>
    </row>
    <row r="11" customFormat="false" ht="54.75" hidden="false" customHeight="true" outlineLevel="0" collapsed="false">
      <c r="A11" s="61" t="n">
        <v>8</v>
      </c>
      <c r="B11" s="60" t="s">
        <v>280</v>
      </c>
      <c r="C11" s="61" t="s">
        <v>281</v>
      </c>
      <c r="D11" s="60" t="s">
        <v>282</v>
      </c>
      <c r="E11" s="60" t="s">
        <v>283</v>
      </c>
      <c r="F11" s="60" t="s">
        <v>284</v>
      </c>
      <c r="G11" s="30" t="s">
        <v>279</v>
      </c>
    </row>
    <row r="12" customFormat="false" ht="54.75" hidden="false" customHeight="true" outlineLevel="0" collapsed="false">
      <c r="A12" s="58" t="n">
        <v>9</v>
      </c>
      <c r="B12" s="57" t="s">
        <v>285</v>
      </c>
      <c r="C12" s="58" t="s">
        <v>107</v>
      </c>
      <c r="D12" s="57" t="s">
        <v>286</v>
      </c>
      <c r="E12" s="57" t="s">
        <v>287</v>
      </c>
      <c r="F12" s="57" t="s">
        <v>288</v>
      </c>
      <c r="G12" s="32" t="s">
        <v>262</v>
      </c>
    </row>
    <row r="13" customFormat="false" ht="54.75" hidden="false" customHeight="true" outlineLevel="0" collapsed="false">
      <c r="A13" s="61" t="n">
        <v>10</v>
      </c>
      <c r="B13" s="60" t="s">
        <v>289</v>
      </c>
      <c r="C13" s="61" t="s">
        <v>39</v>
      </c>
      <c r="D13" s="60" t="s">
        <v>290</v>
      </c>
      <c r="E13" s="60" t="s">
        <v>291</v>
      </c>
      <c r="F13" s="60" t="s">
        <v>292</v>
      </c>
      <c r="G13" s="33" t="s">
        <v>253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421875" defaultRowHeight="15" zeroHeight="false" outlineLevelRow="0" outlineLevelCol="0"/>
  <cols>
    <col collapsed="false" customWidth="true" hidden="false" outlineLevel="0" max="1" min="1" style="0" width="11.97"/>
    <col collapsed="false" customWidth="true" hidden="false" outlineLevel="0" max="2" min="2" style="0" width="55.02"/>
    <col collapsed="false" customWidth="true" hidden="false" outlineLevel="0" max="3" min="3" style="0" width="18.03"/>
    <col collapsed="false" customWidth="true" hidden="false" outlineLevel="0" max="4" min="4" style="0" width="45.06"/>
  </cols>
  <sheetData>
    <row r="1" customFormat="false" ht="25.5" hidden="false" customHeight="true" outlineLevel="0" collapsed="false">
      <c r="A1" s="55" t="s">
        <v>293</v>
      </c>
      <c r="B1" s="55"/>
      <c r="C1" s="55"/>
      <c r="D1" s="55"/>
    </row>
    <row r="2" customFormat="false" ht="18" hidden="false" customHeight="true" outlineLevel="0" collapsed="false">
      <c r="A2" s="41" t="s">
        <v>294</v>
      </c>
      <c r="B2" s="41" t="s">
        <v>295</v>
      </c>
      <c r="C2" s="41" t="s">
        <v>296</v>
      </c>
      <c r="D2" s="41" t="s">
        <v>297</v>
      </c>
    </row>
    <row r="3" customFormat="false" ht="31.5" hidden="false" customHeight="true" outlineLevel="0" collapsed="false">
      <c r="A3" s="71" t="s">
        <v>298</v>
      </c>
      <c r="B3" s="57" t="s">
        <v>299</v>
      </c>
      <c r="C3" s="57" t="s">
        <v>300</v>
      </c>
      <c r="D3" s="57" t="s">
        <v>301</v>
      </c>
    </row>
    <row r="4" customFormat="false" ht="31.5" hidden="false" customHeight="true" outlineLevel="0" collapsed="false">
      <c r="A4" s="72" t="s">
        <v>302</v>
      </c>
      <c r="B4" s="60" t="s">
        <v>303</v>
      </c>
      <c r="C4" s="60" t="s">
        <v>300</v>
      </c>
      <c r="D4" s="60" t="s">
        <v>304</v>
      </c>
    </row>
    <row r="5" customFormat="false" ht="31.5" hidden="false" customHeight="true" outlineLevel="0" collapsed="false">
      <c r="A5" s="71" t="s">
        <v>305</v>
      </c>
      <c r="B5" s="57" t="s">
        <v>306</v>
      </c>
      <c r="C5" s="57" t="s">
        <v>307</v>
      </c>
      <c r="D5" s="57" t="s">
        <v>308</v>
      </c>
    </row>
    <row r="6" customFormat="false" ht="31.5" hidden="false" customHeight="true" outlineLevel="0" collapsed="false">
      <c r="A6" s="72" t="s">
        <v>309</v>
      </c>
      <c r="B6" s="60" t="s">
        <v>310</v>
      </c>
      <c r="C6" s="60" t="s">
        <v>311</v>
      </c>
      <c r="D6" s="60" t="s">
        <v>312</v>
      </c>
    </row>
    <row r="7" customFormat="false" ht="31.5" hidden="false" customHeight="true" outlineLevel="0" collapsed="false">
      <c r="A7" s="71" t="s">
        <v>313</v>
      </c>
      <c r="B7" s="57" t="s">
        <v>314</v>
      </c>
      <c r="C7" s="57" t="s">
        <v>315</v>
      </c>
      <c r="D7" s="57" t="s">
        <v>316</v>
      </c>
    </row>
    <row r="8" customFormat="false" ht="31.5" hidden="false" customHeight="true" outlineLevel="0" collapsed="false">
      <c r="A8" s="72" t="s">
        <v>317</v>
      </c>
      <c r="B8" s="60" t="s">
        <v>318</v>
      </c>
      <c r="C8" s="60" t="s">
        <v>235</v>
      </c>
      <c r="D8" s="60" t="s">
        <v>319</v>
      </c>
    </row>
    <row r="9" customFormat="false" ht="31.5" hidden="false" customHeight="true" outlineLevel="0" collapsed="false">
      <c r="A9" s="71" t="s">
        <v>320</v>
      </c>
      <c r="B9" s="57" t="s">
        <v>321</v>
      </c>
      <c r="C9" s="57" t="s">
        <v>235</v>
      </c>
      <c r="D9" s="57" t="s">
        <v>322</v>
      </c>
    </row>
    <row r="10" customFormat="false" ht="31.5" hidden="false" customHeight="true" outlineLevel="0" collapsed="false">
      <c r="A10" s="72" t="s">
        <v>7</v>
      </c>
      <c r="B10" s="60" t="s">
        <v>323</v>
      </c>
      <c r="C10" s="60" t="s">
        <v>307</v>
      </c>
      <c r="D10" s="60" t="s">
        <v>324</v>
      </c>
    </row>
    <row r="11" customFormat="false" ht="31.5" hidden="false" customHeight="true" outlineLevel="0" collapsed="false">
      <c r="A11" s="71" t="s">
        <v>325</v>
      </c>
      <c r="B11" s="57" t="s">
        <v>326</v>
      </c>
      <c r="C11" s="57" t="s">
        <v>327</v>
      </c>
      <c r="D11" s="57" t="s">
        <v>328</v>
      </c>
    </row>
    <row r="12" customFormat="false" ht="31.5" hidden="false" customHeight="true" outlineLevel="0" collapsed="false">
      <c r="A12" s="72" t="s">
        <v>329</v>
      </c>
      <c r="B12" s="60" t="s">
        <v>330</v>
      </c>
      <c r="C12" s="60" t="s">
        <v>300</v>
      </c>
      <c r="D12" s="60" t="s">
        <v>331</v>
      </c>
    </row>
    <row r="13" customFormat="false" ht="31.5" hidden="false" customHeight="true" outlineLevel="0" collapsed="false">
      <c r="A13" s="71" t="s">
        <v>332</v>
      </c>
      <c r="B13" s="57" t="s">
        <v>333</v>
      </c>
      <c r="C13" s="57" t="s">
        <v>229</v>
      </c>
      <c r="D13" s="57" t="s">
        <v>334</v>
      </c>
    </row>
    <row r="14" customFormat="false" ht="31.5" hidden="false" customHeight="true" outlineLevel="0" collapsed="false">
      <c r="A14" s="72" t="s">
        <v>335</v>
      </c>
      <c r="B14" s="60" t="s">
        <v>336</v>
      </c>
      <c r="C14" s="60" t="s">
        <v>337</v>
      </c>
      <c r="D14" s="60" t="s">
        <v>338</v>
      </c>
    </row>
    <row r="15" customFormat="false" ht="31.5" hidden="false" customHeight="true" outlineLevel="0" collapsed="false">
      <c r="A15" s="71" t="s">
        <v>339</v>
      </c>
      <c r="B15" s="57" t="s">
        <v>340</v>
      </c>
      <c r="C15" s="57" t="s">
        <v>341</v>
      </c>
      <c r="D15" s="57" t="s">
        <v>342</v>
      </c>
    </row>
    <row r="16" customFormat="false" ht="31.5" hidden="false" customHeight="true" outlineLevel="0" collapsed="false">
      <c r="A16" s="72" t="s">
        <v>138</v>
      </c>
      <c r="B16" s="60" t="s">
        <v>343</v>
      </c>
      <c r="C16" s="60" t="s">
        <v>229</v>
      </c>
      <c r="D16" s="60" t="s">
        <v>344</v>
      </c>
    </row>
    <row r="17" customFormat="false" ht="31.5" hidden="false" customHeight="true" outlineLevel="0" collapsed="false">
      <c r="A17" s="71" t="s">
        <v>146</v>
      </c>
      <c r="B17" s="57" t="s">
        <v>345</v>
      </c>
      <c r="C17" s="57" t="s">
        <v>229</v>
      </c>
      <c r="D17" s="57" t="s">
        <v>346</v>
      </c>
    </row>
    <row r="18" customFormat="false" ht="31.5" hidden="false" customHeight="true" outlineLevel="0" collapsed="false">
      <c r="A18" s="72" t="s">
        <v>347</v>
      </c>
      <c r="B18" s="60" t="s">
        <v>348</v>
      </c>
      <c r="C18" s="60" t="s">
        <v>349</v>
      </c>
      <c r="D18" s="60" t="s">
        <v>350</v>
      </c>
    </row>
    <row r="19" customFormat="false" ht="31.5" hidden="false" customHeight="true" outlineLevel="0" collapsed="false">
      <c r="A19" s="71" t="s">
        <v>351</v>
      </c>
      <c r="B19" s="57" t="s">
        <v>352</v>
      </c>
      <c r="C19" s="57" t="s">
        <v>353</v>
      </c>
      <c r="D19" s="57" t="s">
        <v>354</v>
      </c>
    </row>
    <row r="20" customFormat="false" ht="31.5" hidden="false" customHeight="true" outlineLevel="0" collapsed="false">
      <c r="A20" s="72" t="s">
        <v>355</v>
      </c>
      <c r="B20" s="60" t="s">
        <v>356</v>
      </c>
      <c r="C20" s="60" t="s">
        <v>341</v>
      </c>
      <c r="D20" s="60" t="s">
        <v>357</v>
      </c>
    </row>
    <row r="21" customFormat="false" ht="31.5" hidden="false" customHeight="true" outlineLevel="0" collapsed="false">
      <c r="A21" s="71" t="s">
        <v>103</v>
      </c>
      <c r="B21" s="57" t="s">
        <v>358</v>
      </c>
      <c r="C21" s="57" t="s">
        <v>349</v>
      </c>
      <c r="D21" s="57" t="s">
        <v>359</v>
      </c>
    </row>
    <row r="22" customFormat="false" ht="31.5" hidden="false" customHeight="true" outlineLevel="0" collapsed="false">
      <c r="A22" s="72" t="s">
        <v>360</v>
      </c>
      <c r="B22" s="60" t="s">
        <v>361</v>
      </c>
      <c r="C22" s="60" t="s">
        <v>205</v>
      </c>
      <c r="D22" s="60" t="s">
        <v>362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2026-05-03T07:50:11Z</dcterms:created>
  <dc:creator>openpyxl</dc:creator>
  <dc:description/>
  <dc:language>en-US</dc:language>
  <cp:lastModifiedBy/>
  <dcterms:modified xsi:type="dcterms:W3CDTF">2026-05-23T13:39:01Z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