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8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Trade Database" sheetId="1" state="visible" r:id="rId2"/>
    <sheet name="Config" sheetId="2" state="hidden" r:id="rId3"/>
    <sheet name="Stage Reference Guide" sheetId="3" state="visible" r:id="rId4"/>
    <sheet name="Failure Reference" sheetId="4" state="visible" r:id="rId5"/>
    <sheet name="Broker Scorecard" sheetId="5" state="visible" r:id="rId6"/>
    <sheet name="Break Management Center" sheetId="6" state="visible" r:id="rId7"/>
    <sheet name="SLA Monitoring Center" sheetId="7" state="visible" r:id="rId8"/>
    <sheet name="Executive Dashboard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<sst xmlns="http://schemas.openxmlformats.org/spreadsheetml/2006/main" count="1233" uniqueCount="381">
  <si>
    <t xml:space="preserve">TRADE LIFECYCLE OPERATIONS COMMAND CENTER</t>
  </si>
  <si>
    <t xml:space="preserve">IronHub Capital | T+1 Settlement Desk | India Markets | Equities | Fixed Income | Derivatives | Commodities</t>
  </si>
  <si>
    <t xml:space="preserve">Trade ID</t>
  </si>
  <si>
    <t xml:space="preserve">Trade Date</t>
  </si>
  <si>
    <t xml:space="preserve">Settlement Date</t>
  </si>
  <si>
    <t xml:space="preserve">Asset Class</t>
  </si>
  <si>
    <t xml:space="preserve">Product</t>
  </si>
  <si>
    <t xml:space="preserve">ISIN</t>
  </si>
  <si>
    <t xml:space="preserve">Currency</t>
  </si>
  <si>
    <t xml:space="preserve">Quantity</t>
  </si>
  <si>
    <t xml:space="preserve">Price</t>
  </si>
  <si>
    <t xml:space="preserve">Trade Value</t>
  </si>
  <si>
    <t xml:space="preserve">Broker</t>
  </si>
  <si>
    <t xml:space="preserve">Counterparty</t>
  </si>
  <si>
    <t xml:space="preserve">Lifecycle Stage</t>
  </si>
  <si>
    <t xml:space="preserve">Trade Status</t>
  </si>
  <si>
    <t xml:space="preserve">Failure Type</t>
  </si>
  <si>
    <t xml:space="preserve">Aging Days</t>
  </si>
  <si>
    <t xml:space="preserve">Severity Score</t>
  </si>
  <si>
    <t xml:space="preserve">Risk Score</t>
  </si>
  <si>
    <t xml:space="preserve">RAG Status</t>
  </si>
  <si>
    <t xml:space="preserve">Settlement Risk</t>
  </si>
  <si>
    <t xml:space="preserve">Priority Rank</t>
  </si>
  <si>
    <t xml:space="preserve">TRD-001</t>
  </si>
  <si>
    <t xml:space="preserve">Equity</t>
  </si>
  <si>
    <t xml:space="preserve">Tata Consultancy Services</t>
  </si>
  <si>
    <t xml:space="preserve">INE467B01029</t>
  </si>
  <si>
    <t xml:space="preserve">INR</t>
  </si>
  <si>
    <t xml:space="preserve">HDFC Securities</t>
  </si>
  <si>
    <t xml:space="preserve">Nuvama Wealth</t>
  </si>
  <si>
    <t xml:space="preserve">S7 Settlement</t>
  </si>
  <si>
    <t xml:space="preserve">Settled</t>
  </si>
  <si>
    <t xml:space="preserve">TRD-002</t>
  </si>
  <si>
    <t xml:space="preserve">Axis Bank Ltd</t>
  </si>
  <si>
    <t xml:space="preserve">INE238A01034</t>
  </si>
  <si>
    <t xml:space="preserve">Axis Securities</t>
  </si>
  <si>
    <t xml:space="preserve">TRD-003</t>
  </si>
  <si>
    <t xml:space="preserve">Fixed Income</t>
  </si>
  <si>
    <t xml:space="preserve">7.18% GOI 2033</t>
  </si>
  <si>
    <t xml:space="preserve">IN002023Y123</t>
  </si>
  <si>
    <t xml:space="preserve">Kotak Securities</t>
  </si>
  <si>
    <t xml:space="preserve">Sharekhan</t>
  </si>
  <si>
    <t xml:space="preserve">S5 Matching</t>
  </si>
  <si>
    <t xml:space="preserve">Break</t>
  </si>
  <si>
    <t xml:space="preserve">Matching Break</t>
  </si>
  <si>
    <t xml:space="preserve">TRD-004</t>
  </si>
  <si>
    <t xml:space="preserve">T-Bill 91D</t>
  </si>
  <si>
    <t xml:space="preserve">IN002024T001</t>
  </si>
  <si>
    <t xml:space="preserve">IIFL Securities</t>
  </si>
  <si>
    <t xml:space="preserve">TRD-005</t>
  </si>
  <si>
    <t xml:space="preserve">Asian Paints Ltd</t>
  </si>
  <si>
    <t xml:space="preserve">INE021A01026</t>
  </si>
  <si>
    <t xml:space="preserve">ICICI Securities</t>
  </si>
  <si>
    <t xml:space="preserve">TRD-006</t>
  </si>
  <si>
    <t xml:space="preserve">Tata Steel Corp Bond</t>
  </si>
  <si>
    <t xml:space="preserve">INE081A08123</t>
  </si>
  <si>
    <t xml:space="preserve">Angel One</t>
  </si>
  <si>
    <t xml:space="preserve">JM Financial</t>
  </si>
  <si>
    <t xml:space="preserve">TRD-007</t>
  </si>
  <si>
    <t xml:space="preserve">TRD-008</t>
  </si>
  <si>
    <t xml:space="preserve">7.30% GOI 2053</t>
  </si>
  <si>
    <t xml:space="preserve">IN002023Y456</t>
  </si>
  <si>
    <t xml:space="preserve">Motilal Oswal</t>
  </si>
  <si>
    <t xml:space="preserve">TRD-009</t>
  </si>
  <si>
    <t xml:space="preserve">6.99% GOI 2026</t>
  </si>
  <si>
    <t xml:space="preserve">IN002023Y789</t>
  </si>
  <si>
    <t xml:space="preserve">TRD-010</t>
  </si>
  <si>
    <t xml:space="preserve">Commodities</t>
  </si>
  <si>
    <t xml:space="preserve">Gold Futures (MCX)</t>
  </si>
  <si>
    <t xml:space="preserve">N/A</t>
  </si>
  <si>
    <t xml:space="preserve">S1 Validation</t>
  </si>
  <si>
    <t xml:space="preserve">In Progress</t>
  </si>
  <si>
    <t xml:space="preserve">TRD-011</t>
  </si>
  <si>
    <t xml:space="preserve">ITC Ltd</t>
  </si>
  <si>
    <t xml:space="preserve">INE154A01025</t>
  </si>
  <si>
    <t xml:space="preserve">TRD-012</t>
  </si>
  <si>
    <t xml:space="preserve">Natural Gas Futures (MCX)</t>
  </si>
  <si>
    <t xml:space="preserve">USD</t>
  </si>
  <si>
    <t xml:space="preserve">TRD-013</t>
  </si>
  <si>
    <t xml:space="preserve">TRD-014</t>
  </si>
  <si>
    <t xml:space="preserve">ICICI Bank Ltd</t>
  </si>
  <si>
    <t xml:space="preserve">INE090A01021</t>
  </si>
  <si>
    <t xml:space="preserve">TRD-015</t>
  </si>
  <si>
    <t xml:space="preserve">Maruti Suzuki</t>
  </si>
  <si>
    <t xml:space="preserve">INE585B01010</t>
  </si>
  <si>
    <t xml:space="preserve">TRD-016</t>
  </si>
  <si>
    <t xml:space="preserve">Derivatives</t>
  </si>
  <si>
    <t xml:space="preserve">EURINR Futures</t>
  </si>
  <si>
    <t xml:space="preserve">TRD-017</t>
  </si>
  <si>
    <t xml:space="preserve">Infosys Ltd</t>
  </si>
  <si>
    <t xml:space="preserve">INE009A01021</t>
  </si>
  <si>
    <t xml:space="preserve">TRD-018</t>
  </si>
  <si>
    <t xml:space="preserve">Sun Pharma</t>
  </si>
  <si>
    <t xml:space="preserve">INE044A01036</t>
  </si>
  <si>
    <t xml:space="preserve">TRD-019</t>
  </si>
  <si>
    <t xml:space="preserve">S2 Enrichment</t>
  </si>
  <si>
    <t xml:space="preserve">TRD-020</t>
  </si>
  <si>
    <t xml:space="preserve">TRD-021</t>
  </si>
  <si>
    <t xml:space="preserve">Bajaj Finance Ltd</t>
  </si>
  <si>
    <t xml:space="preserve">INE296A01024</t>
  </si>
  <si>
    <t xml:space="preserve">TRD-022</t>
  </si>
  <si>
    <t xml:space="preserve">Copper Futures (MCX)</t>
  </si>
  <si>
    <t xml:space="preserve">TRD-023</t>
  </si>
  <si>
    <t xml:space="preserve">TRD-024</t>
  </si>
  <si>
    <t xml:space="preserve">TRD-025</t>
  </si>
  <si>
    <t xml:space="preserve">TRD-026</t>
  </si>
  <si>
    <t xml:space="preserve">TRD-027</t>
  </si>
  <si>
    <t xml:space="preserve">TRD-028</t>
  </si>
  <si>
    <t xml:space="preserve">Wipro Ltd</t>
  </si>
  <si>
    <t xml:space="preserve">INE075A01022</t>
  </si>
  <si>
    <t xml:space="preserve">TRD-029</t>
  </si>
  <si>
    <t xml:space="preserve">TRD-030</t>
  </si>
  <si>
    <t xml:space="preserve">T-Bill 182D</t>
  </si>
  <si>
    <t xml:space="preserve">IN002024T002</t>
  </si>
  <si>
    <t xml:space="preserve">TRD-031</t>
  </si>
  <si>
    <t xml:space="preserve">TRD-032</t>
  </si>
  <si>
    <t xml:space="preserve">Larsen &amp; Toubro</t>
  </si>
  <si>
    <t xml:space="preserve">INE018A01030</t>
  </si>
  <si>
    <t xml:space="preserve">TRD-033</t>
  </si>
  <si>
    <t xml:space="preserve">Bank Nifty Futures</t>
  </si>
  <si>
    <t xml:space="preserve">TRD-034</t>
  </si>
  <si>
    <t xml:space="preserve">USDINR Futures</t>
  </si>
  <si>
    <t xml:space="preserve">TRD-035</t>
  </si>
  <si>
    <t xml:space="preserve">TRD-036</t>
  </si>
  <si>
    <t xml:space="preserve">TRD-037</t>
  </si>
  <si>
    <t xml:space="preserve">Settlement Fail</t>
  </si>
  <si>
    <t xml:space="preserve">TRD-038</t>
  </si>
  <si>
    <t xml:space="preserve">TRD-039</t>
  </si>
  <si>
    <t xml:space="preserve">HDFC Ltd Corp Bond</t>
  </si>
  <si>
    <t xml:space="preserve">INE001A08145</t>
  </si>
  <si>
    <t xml:space="preserve">TRD-040</t>
  </si>
  <si>
    <t xml:space="preserve">TRD-041</t>
  </si>
  <si>
    <t xml:space="preserve">Silver Futures (MCX)</t>
  </si>
  <si>
    <t xml:space="preserve">TRD-042</t>
  </si>
  <si>
    <t xml:space="preserve">TRD-043</t>
  </si>
  <si>
    <t xml:space="preserve">TRD-044</t>
  </si>
  <si>
    <t xml:space="preserve">Reliance Industries Ltd</t>
  </si>
  <si>
    <t xml:space="preserve">INE002A01018</t>
  </si>
  <si>
    <t xml:space="preserve">TRD-045</t>
  </si>
  <si>
    <t xml:space="preserve">TRD-046</t>
  </si>
  <si>
    <t xml:space="preserve">TRD-047</t>
  </si>
  <si>
    <t xml:space="preserve">TRD-048</t>
  </si>
  <si>
    <t xml:space="preserve">TRD-049</t>
  </si>
  <si>
    <t xml:space="preserve">TRD-050</t>
  </si>
  <si>
    <t xml:space="preserve">TRD-051</t>
  </si>
  <si>
    <t xml:space="preserve">S4 Allocation</t>
  </si>
  <si>
    <t xml:space="preserve">Allocation Error</t>
  </si>
  <si>
    <t xml:space="preserve">TRD-052</t>
  </si>
  <si>
    <t xml:space="preserve">TRD-053</t>
  </si>
  <si>
    <t xml:space="preserve">TRD-054</t>
  </si>
  <si>
    <t xml:space="preserve">Reliance Futures</t>
  </si>
  <si>
    <t xml:space="preserve">TRD-055</t>
  </si>
  <si>
    <t xml:space="preserve">TRD-056</t>
  </si>
  <si>
    <t xml:space="preserve">TRD-057</t>
  </si>
  <si>
    <t xml:space="preserve">HDFC Bank Ltd</t>
  </si>
  <si>
    <t xml:space="preserve">INE040A01034</t>
  </si>
  <si>
    <t xml:space="preserve">TRD-058</t>
  </si>
  <si>
    <t xml:space="preserve">TRD-059</t>
  </si>
  <si>
    <t xml:space="preserve">TRD-060</t>
  </si>
  <si>
    <t xml:space="preserve">TRD-061</t>
  </si>
  <si>
    <t xml:space="preserve">TRD-062</t>
  </si>
  <si>
    <t xml:space="preserve">TRD-063</t>
  </si>
  <si>
    <t xml:space="preserve">TRD-064</t>
  </si>
  <si>
    <t xml:space="preserve">TRD-065</t>
  </si>
  <si>
    <t xml:space="preserve">S0 Trade Capture</t>
  </si>
  <si>
    <t xml:space="preserve">TRD-066</t>
  </si>
  <si>
    <t xml:space="preserve">TRD-067</t>
  </si>
  <si>
    <t xml:space="preserve">S3 Confirmation</t>
  </si>
  <si>
    <t xml:space="preserve">TRD-068</t>
  </si>
  <si>
    <t xml:space="preserve">State Bank of India</t>
  </si>
  <si>
    <t xml:space="preserve">INE062A01020</t>
  </si>
  <si>
    <t xml:space="preserve">TRD-069</t>
  </si>
  <si>
    <t xml:space="preserve">SSI Error</t>
  </si>
  <si>
    <t xml:space="preserve">TRD-070</t>
  </si>
  <si>
    <t xml:space="preserve">TRD-071</t>
  </si>
  <si>
    <t xml:space="preserve">TRD-072</t>
  </si>
  <si>
    <t xml:space="preserve">Trade Capture Error</t>
  </si>
  <si>
    <t xml:space="preserve">TRD-073</t>
  </si>
  <si>
    <t xml:space="preserve">TRD-074</t>
  </si>
  <si>
    <t xml:space="preserve">Corporate Action Impact</t>
  </si>
  <si>
    <t xml:space="preserve">TRD-075</t>
  </si>
  <si>
    <t xml:space="preserve">TRD-076</t>
  </si>
  <si>
    <t xml:space="preserve">TRD-077</t>
  </si>
  <si>
    <t xml:space="preserve">TRD-078</t>
  </si>
  <si>
    <t xml:space="preserve">Nifty 50 Futures</t>
  </si>
  <si>
    <t xml:space="preserve">TRD-079</t>
  </si>
  <si>
    <t xml:space="preserve">TRD-080</t>
  </si>
  <si>
    <t xml:space="preserve">TRD-081</t>
  </si>
  <si>
    <t xml:space="preserve">TRD-082</t>
  </si>
  <si>
    <t xml:space="preserve">TRD-083</t>
  </si>
  <si>
    <t xml:space="preserve">TRD-084</t>
  </si>
  <si>
    <t xml:space="preserve">Hindustan Unilever</t>
  </si>
  <si>
    <t xml:space="preserve">INE030A01027</t>
  </si>
  <si>
    <t xml:space="preserve">TRD-085</t>
  </si>
  <si>
    <t xml:space="preserve">TRD-086</t>
  </si>
  <si>
    <t xml:space="preserve">TRD-087</t>
  </si>
  <si>
    <t xml:space="preserve">TRD-088</t>
  </si>
  <si>
    <t xml:space="preserve">TRD-089</t>
  </si>
  <si>
    <t xml:space="preserve">TRD-090</t>
  </si>
  <si>
    <t xml:space="preserve">TRD-091</t>
  </si>
  <si>
    <t xml:space="preserve">TRD-092</t>
  </si>
  <si>
    <t xml:space="preserve">TRD-093</t>
  </si>
  <si>
    <t xml:space="preserve">TRD-094</t>
  </si>
  <si>
    <t xml:space="preserve">TRD-095</t>
  </si>
  <si>
    <t xml:space="preserve">TRD-096</t>
  </si>
  <si>
    <t xml:space="preserve">TRD-097</t>
  </si>
  <si>
    <t xml:space="preserve">TRD-098</t>
  </si>
  <si>
    <t xml:space="preserve">TRD-099</t>
  </si>
  <si>
    <t xml:space="preserve">TRD-100</t>
  </si>
  <si>
    <t xml:space="preserve">Reference Date</t>
  </si>
  <si>
    <t xml:space="preserve">Risk Weight</t>
  </si>
  <si>
    <t xml:space="preserve">TRADE LIFECYCLE — STAGE REFERENCE GUIDE</t>
  </si>
  <si>
    <t xml:space="preserve">Stage</t>
  </si>
  <si>
    <t xml:space="preserve">Stage Name</t>
  </si>
  <si>
    <t xml:space="preserve">Description</t>
  </si>
  <si>
    <t xml:space="preserve">Operational Purpose</t>
  </si>
  <si>
    <t xml:space="preserve">Responsible Team</t>
  </si>
  <si>
    <t xml:space="preserve">Systems Used</t>
  </si>
  <si>
    <t xml:space="preserve">Failure Points</t>
  </si>
  <si>
    <t xml:space="preserve">STP Check</t>
  </si>
  <si>
    <t xml:space="preserve">S0</t>
  </si>
  <si>
    <t xml:space="preserve">Trade Capture</t>
  </si>
  <si>
    <t xml:space="preserve">Trade details entered / auto-booked into OMS; Trade ID generated</t>
  </si>
  <si>
    <t xml:space="preserve">Ensure all execution data is captured accurately in front-office systems</t>
  </si>
  <si>
    <t xml:space="preserve">Front Office / Trade Support</t>
  </si>
  <si>
    <t xml:space="preserve">Bloomberg AIM, Charles River, FlexTrade</t>
  </si>
  <si>
    <t xml:space="preserve">Duplicate booking, wrong quantity, wrong account, missing trade time</t>
  </si>
  <si>
    <t xml:space="preserve">STP from execution feed via FIX</t>
  </si>
  <si>
    <t xml:space="preserve">S1</t>
  </si>
  <si>
    <t xml:space="preserve">Validation</t>
  </si>
  <si>
    <t xml:space="preserve">System validates ISIN, LEI, SSI, counterparty static data</t>
  </si>
  <si>
    <t xml:space="preserve">Prevent invalid or stale reference data from progressing through lifecycle</t>
  </si>
  <si>
    <t xml:space="preserve">Middle Office / Data Management</t>
  </si>
  <si>
    <t xml:space="preserve">Bloomberg Reference Data, In-house Security Master</t>
  </si>
  <si>
    <t xml:space="preserve">Invalid ISIN, missing LEI, stale SSI, unknown counterparty</t>
  </si>
  <si>
    <t xml:space="preserve">Auto-reject on validation failure</t>
  </si>
  <si>
    <t xml:space="preserve">S2</t>
  </si>
  <si>
    <t xml:space="preserve">Enrichment</t>
  </si>
  <si>
    <t xml:space="preserve">Trade enriched with settlement details, custodian SSI, accrued interest (FI)</t>
  </si>
  <si>
    <t xml:space="preserve">Add all settlement-critical data required for downstream processing</t>
  </si>
  <si>
    <t xml:space="preserve">Middle Office / Settlement</t>
  </si>
  <si>
    <t xml:space="preserve">Static Data Systems, Broadridge, In-house Middleware</t>
  </si>
  <si>
    <t xml:space="preserve">Missing SSI, unknown custodian, enrichment timeout, incorrect accrued interest</t>
  </si>
  <si>
    <t xml:space="preserve">Auto-enrichment if SSI found in master</t>
  </si>
  <si>
    <t xml:space="preserve">S3</t>
  </si>
  <si>
    <t xml:space="preserve">Confirmation</t>
  </si>
  <si>
    <t xml:space="preserve">Trade confirmation sent to counterparty; affirmation requested</t>
  </si>
  <si>
    <t xml:space="preserve">Establish bilateral agreement on trade economics before matching</t>
  </si>
  <si>
    <t xml:space="preserve">Middle Office / Confirmations</t>
  </si>
  <si>
    <t xml:space="preserve">Omgeo CTM, Markit Wire, SWIFT MT300</t>
  </si>
  <si>
    <t xml:space="preserve">Late confirmation, unconfirmed trade, wrong counterparty contact</t>
  </si>
  <si>
    <t xml:space="preserve">Auto-confirm if electronic matching enabled</t>
  </si>
  <si>
    <t xml:space="preserve">S4</t>
  </si>
  <si>
    <t xml:space="preserve">Allocation</t>
  </si>
  <si>
    <t xml:space="preserve">Block trade split across funds/accounts; allocation confirmed to prime broker</t>
  </si>
  <si>
    <t xml:space="preserve">Ensure correct fund/account attribution for NAV and regulatory reporting</t>
  </si>
  <si>
    <t xml:space="preserve">Middle Office / Allocations</t>
  </si>
  <si>
    <t xml:space="preserve">OMS, SWIFT MT515, Omgeo CTM</t>
  </si>
  <si>
    <t xml:space="preserve">Late allocation, allocation sum ≠ block qty, wrong fund code</t>
  </si>
  <si>
    <t xml:space="preserve">Auto-allocate if rules configured in OMS</t>
  </si>
  <si>
    <t xml:space="preserve">S5</t>
  </si>
  <si>
    <t xml:space="preserve">Matching</t>
  </si>
  <si>
    <t xml:space="preserve">Both counterparties compare and affirm trade details on CTM/DTCC</t>
  </si>
  <si>
    <t xml:space="preserve">Achieve affirmed status required for clearing eligibility</t>
  </si>
  <si>
    <t xml:space="preserve">Middle Office / Matching</t>
  </si>
  <si>
    <t xml:space="preserve">Omgeo CTM, Markit Wire, DTCC TradeSuite</t>
  </si>
  <si>
    <t xml:space="preserve">Price/qty mismatch, late affirmation, wrong side, unmatched after cut-off</t>
  </si>
  <si>
    <t xml:space="preserve">Auto-match if all details align exactly</t>
  </si>
  <si>
    <t xml:space="preserve">S6</t>
  </si>
  <si>
    <t xml:space="preserve">Settlement Instruction</t>
  </si>
  <si>
    <t xml:space="preserve">CCP novates; net obligations calculated; initial margin posted</t>
  </si>
  <si>
    <t xml:space="preserve">Prepare final settlement instructions for depository/RTGS transmission</t>
  </si>
  <si>
    <t xml:space="preserve">Back Office / Clearing</t>
  </si>
  <si>
    <t xml:space="preserve">NSCCL, CCIL, DTCC, LCH, SWIFT MT540-543</t>
  </si>
  <si>
    <t xml:space="preserve">Margin shortfall, CCP rejection, netting failure, wrong instruction type</t>
  </si>
  <si>
    <t xml:space="preserve">Auto-clear on CCP acceptance</t>
  </si>
  <si>
    <t xml:space="preserve">S7</t>
  </si>
  <si>
    <t xml:space="preserve">Settlement</t>
  </si>
  <si>
    <t xml:space="preserve">DVP exchange of cash &amp; securities via depository / RTGS</t>
  </si>
  <si>
    <t xml:space="preserve">Final exchange of assets; trade completes lifecycle</t>
  </si>
  <si>
    <t xml:space="preserve">Back Office / Settlement</t>
  </si>
  <si>
    <t xml:space="preserve">NSDL, CDSL, RTGS, SWIFT MT541/543</t>
  </si>
  <si>
    <t xml:space="preserve">Short delivery, funding failure, depot mismatch, late DVP</t>
  </si>
  <si>
    <t xml:space="preserve">STP via SWIFT if SSI and cash position correct</t>
  </si>
  <si>
    <t xml:space="preserve">OPERATIONAL FAILURE SCENARIOS — BREAK MANAGEMENT REFERENCE</t>
  </si>
  <si>
    <t xml:space="preserve">Resolution Steps</t>
  </si>
  <si>
    <t xml:space="preserve">Risk Level</t>
  </si>
  <si>
    <t xml:space="preserve">Price or quantity mismatch between counterparties on affirmation platform; trade remains unmatched</t>
  </si>
  <si>
    <t xml:space="preserve">1. Identify discrepancy on CTM
2. Call broker middle office
3. Agree correct economics
4. Amend and re-submit affirmation</t>
  </si>
  <si>
    <t xml:space="preserve">HIGH</t>
  </si>
  <si>
    <t xml:space="preserve">DVP fails on settlement date due to insufficient securities or cash at custodian</t>
  </si>
  <si>
    <t xml:space="preserve">1. Contact CP treasury/custodian immediately
2. Assess short extension possibility
3. Move to fail status if unresolved
4. Calculate interest claim and notify client</t>
  </si>
  <si>
    <t xml:space="preserve">CRITICAL</t>
  </si>
  <si>
    <t xml:space="preserve">Block trade allocation sum does not equal block quantity or wrong fund attribution</t>
  </si>
  <si>
    <t xml:space="preserve">1. Pull original block from OMS
2. Verify allocation percentages
3. Re-allocate correctly
4. Re-submit to prime broker</t>
  </si>
  <si>
    <t xml:space="preserve">Settlement Standing Instruction missing or incorrect for counterparty/currency/depository</t>
  </si>
  <si>
    <t xml:space="preserve">1. Contact broker for correct SSI
2. Load SSI into static data
3. Re-run enrichment
4. Escalate if settlement date approaching</t>
  </si>
  <si>
    <t xml:space="preserve">MEDIUM</t>
  </si>
  <si>
    <t xml:space="preserve">Wrong instrument, quantity, price, or direction captured at booking stage</t>
  </si>
  <si>
    <t xml:space="preserve">1. Identify error via validation rules
2. Cancel incorrect trade
3. Re-book with correct details
4. Notify trader and compliance</t>
  </si>
  <si>
    <t xml:space="preserve">Stock split, bonus, or rights issue creates position reconciliation break post-settlement</t>
  </si>
  <si>
    <t xml:space="preserve">1. Pull corporate action record from depository
2. Manually adjust OMS position
3. Pass journal entry
4. Update recon system (TLM/Intellimatch)</t>
  </si>
  <si>
    <t xml:space="preserve">LOW</t>
  </si>
  <si>
    <t xml:space="preserve">BROKER PERFORMANCE SCORECARD</t>
  </si>
  <si>
    <t xml:space="preserve">Metrics derived from Trade Database | Rolling T+1 Settlement Analysis</t>
  </si>
  <si>
    <t xml:space="preserve">Rank</t>
  </si>
  <si>
    <t xml:space="preserve">Total Trades</t>
  </si>
  <si>
    <t xml:space="preserve">Settled Trades</t>
  </si>
  <si>
    <t xml:space="preserve">Open Breaks</t>
  </si>
  <si>
    <t xml:space="preserve">Break Rate %</t>
  </si>
  <si>
    <t xml:space="preserve">Avg Aging (Days)</t>
  </si>
  <si>
    <t xml:space="preserve">Settlement Success %</t>
  </si>
  <si>
    <t xml:space="preserve">STP Rate %</t>
  </si>
  <si>
    <t xml:space="preserve">Performance Score</t>
  </si>
  <si>
    <t xml:space="preserve">BREAK MANAGEMENT CENTER</t>
  </si>
  <si>
    <t xml:space="preserve">Real-time break analysis by dimension | Heatmap intensity = break concentration</t>
  </si>
  <si>
    <t xml:space="preserve">BREAKS BY BROKER</t>
  </si>
  <si>
    <t xml:space="preserve">BREAKS BY ASSET CLASS</t>
  </si>
  <si>
    <t xml:space="preserve">Break Count</t>
  </si>
  <si>
    <t xml:space="preserve">Total Value (₹)</t>
  </si>
  <si>
    <t xml:space="preserve">Avg Severity</t>
  </si>
  <si>
    <t xml:space="preserve">BREAKS BY FAILURE TYPE</t>
  </si>
  <si>
    <t xml:space="preserve">BREAKS BY MONTH</t>
  </si>
  <si>
    <t xml:space="preserve">Count</t>
  </si>
  <si>
    <t xml:space="preserve">% of Breaks</t>
  </si>
  <si>
    <t xml:space="preserve">Month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</si>
  <si>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</si>
  <si>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</si>
  <si>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</si>
  <si>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</si>
  <si>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</si>
  <si>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</si>
  <si>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TOTAL</t>
  </si>
  <si>
    <t xml:space="preserve">SLA MONITORING CENTER</t>
  </si>
  <si>
    <t xml:space="preserve">T+1 Settlement SLA Tracking | Green = Within SLA | Amber = Near Breach | Red = Breached</t>
  </si>
  <si>
    <t xml:space="preserve">SLA DEFINITIONS</t>
  </si>
  <si>
    <t xml:space="preserve">SLA METRICS</t>
  </si>
  <si>
    <t xml:space="preserve">SLA Target</t>
  </si>
  <si>
    <t xml:space="preserve">Within SLA</t>
  </si>
  <si>
    <t xml:space="preserve">Near Breach</t>
  </si>
  <si>
    <t xml:space="preserve">Breached</t>
  </si>
  <si>
    <t xml:space="preserve">Metric</t>
  </si>
  <si>
    <t xml:space="preserve">Percentage</t>
  </si>
  <si>
    <t xml:space="preserve">Status</t>
  </si>
  <si>
    <t xml:space="preserve">T+15 min</t>
  </si>
  <si>
    <t xml:space="preserve">Aging ≤ 0.5 days</t>
  </si>
  <si>
    <t xml:space="preserve">Aging 0.5-1 day</t>
  </si>
  <si>
    <t xml:space="preserve">Aging &gt; 1 day</t>
  </si>
  <si>
    <t xml:space="preserve">T+30 min</t>
  </si>
  <si>
    <t xml:space="preserve">T+2 hours</t>
  </si>
  <si>
    <t xml:space="preserve">T+4 hours</t>
  </si>
  <si>
    <t xml:space="preserve">Total Monitored</t>
  </si>
  <si>
    <t xml:space="preserve">T+6 hours</t>
  </si>
  <si>
    <t xml:space="preserve">End of Day T</t>
  </si>
  <si>
    <t xml:space="preserve">SLA STATUS BY LIFECYCLE STAGE</t>
  </si>
  <si>
    <t xml:space="preserve">T+1 09:00</t>
  </si>
  <si>
    <t xml:space="preserve">Aging ≤ 1 day</t>
  </si>
  <si>
    <t xml:space="preserve">Aging 1-2 days</t>
  </si>
  <si>
    <t xml:space="preserve">Aging &gt; 2 days</t>
  </si>
  <si>
    <t xml:space="preserve">Total</t>
  </si>
  <si>
    <t xml:space="preserve">S6 Settlement Instruction</t>
  </si>
  <si>
    <t xml:space="preserve">EXECUTIVE DASHBOARD</t>
  </si>
  <si>
    <t xml:space="preserve">Operations Command Center | Real-time Trade Lifecycle Analytics</t>
  </si>
  <si>
    <t xml:space="preserve">Pending Trades</t>
  </si>
  <si>
    <t xml:space="preserve">Success %</t>
  </si>
  <si>
    <t xml:space="preserve">Jan</t>
  </si>
  <si>
    <t xml:space="preserve">Feb</t>
  </si>
  <si>
    <t xml:space="preserve">Mar</t>
  </si>
  <si>
    <t xml:space="preserve">Apr</t>
  </si>
  <si>
    <t xml:space="preserve">STP Rate</t>
  </si>
  <si>
    <t xml:space="preserve">Settlement Success</t>
  </si>
  <si>
    <t xml:space="preserve">May</t>
  </si>
  <si>
    <t xml:space="preserve">Jun</t>
  </si>
  <si>
    <t xml:space="preserve">Avg Aging</t>
  </si>
  <si>
    <t xml:space="preserve">High Risk Trades</t>
  </si>
  <si>
    <t xml:space="preserve">Ops Health Score</t>
  </si>
  <si>
    <t xml:space="preserve">FILTER PANEL</t>
  </si>
  <si>
    <t xml:space="preserve">[Select Broker]</t>
  </si>
  <si>
    <t xml:space="preserve">[Select Asset Class]</t>
  </si>
  <si>
    <t xml:space="preserve">[Select Status]</t>
  </si>
  <si>
    <t xml:space="preserve">[Select Failure Type]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</si>
</sst>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-mmm\-yyyy"/>
    <numFmt numFmtId="166" formatCode="#,##0"/>
    <numFmt numFmtId="167" formatCode="#,##0.00"/>
    <numFmt numFmtId="168" formatCode="General"/>
    <numFmt numFmtId="169" formatCode="0"/>
    <numFmt numFmtId="170" formatCode="0.0%"/>
    <numFmt numFmtId="171" formatCode="0.0"/>
    <numFmt numFmtId="172" formatCode="dd\-mmm\-yyyy\ hh:mm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6B6D4"/>
      <name val="Calibri"/>
      <family val="0"/>
      <charset val="1"/>
    </font>
    <font>
      <sz val="10"/>
      <color rgb="FF9CA3A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color rgb="FFFFFFFF"/>
      <name val="Calibri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6B6D4"/>
      <name val="Cambria"/>
      <family val="0"/>
      <charset val="1"/>
    </font>
    <font>
      <b val="true"/>
      <sz val="16"/>
      <color rgb="FF06B6D4"/>
      <name val="Calibri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2"/>
      <color rgb="FF06B6D4"/>
      <name val="Cambria"/>
      <family val="0"/>
      <charset val="1"/>
    </font>
    <font>
      <b val="true"/>
      <sz val="11"/>
      <color rgb="FF06B6D4"/>
      <name val="Cambria"/>
      <family val="0"/>
      <charset val="1"/>
    </font>
    <font>
      <b val="true"/>
      <sz val="20"/>
      <color rgb="FF06B6D4"/>
      <name val="Calibri"/>
      <family val="0"/>
      <charset val="1"/>
    </font>
    <font>
      <sz val="10"/>
      <color rgb="FF06B6D4"/>
      <name val="Cambria"/>
      <family val="0"/>
      <charset val="1"/>
    </font>
    <font>
      <b val="true"/>
      <sz val="22"/>
      <color rgb="FF06B6D4"/>
      <name val="Calibri"/>
      <family val="0"/>
      <charset val="1"/>
    </font>
    <font>
      <b val="true"/>
      <sz val="9"/>
      <color rgb="FF9CA3AF"/>
      <name val="Cambria"/>
      <family val="0"/>
      <charset val="1"/>
    </font>
    <font>
      <sz val="10"/>
      <color rgb="FFFFFFFF"/>
      <name val="Cambria"/>
      <family val="0"/>
      <charset val="1"/>
    </font>
    <font>
      <b val="true"/>
      <sz val="18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F172A"/>
      </patternFill>
    </fill>
    <fill>
      <patternFill patternType="solid">
        <fgColor rgb="FF0F172A"/>
        <bgColor rgb="FF111827"/>
      </patternFill>
    </fill>
    <fill>
      <patternFill patternType="solid">
        <fgColor rgb="FF111827"/>
        <bgColor rgb="FF0F172A"/>
      </patternFill>
    </fill>
    <fill>
      <patternFill patternType="solid">
        <fgColor rgb="FF1F2937"/>
        <bgColor rgb="FF11182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6B6D4"/>
      </bottom>
      <diagonal/>
    </border>
    <border diagonalUp="false" diagonalDown="false">
      <left style="medium">
        <color rgb="FF06B6D4"/>
      </left>
      <right/>
      <top/>
      <bottom/>
      <diagonal/>
    </border>
    <border diagonalUp="false" diagonalDown="false">
      <left style="thin">
        <color rgb="FF374151"/>
      </left>
      <right style="thin">
        <color rgb="FF374151"/>
      </right>
      <top style="thin">
        <color rgb="FF374151"/>
      </top>
      <bottom style="thin">
        <color rgb="FF37415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70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EF4444"/>
        </patternFill>
      </fill>
    </dxf>
    <dxf>
      <fill>
        <patternFill>
          <bgColor rgb="FFF59E0B"/>
        </patternFill>
      </fill>
    </dxf>
    <dxf>
      <fill>
        <patternFill>
          <bgColor rgb="FF10B981"/>
        </patternFill>
      </fill>
    </dxf>
    <dxf>
      <fill>
        <patternFill>
          <bgColor rgb="FF7F1D1D"/>
        </patternFill>
      </fill>
    </dxf>
    <dxf>
      <fill>
        <patternFill>
          <bgColor rgb="FF064E3B"/>
        </patternFill>
      </fill>
    </dxf>
    <dxf>
      <fill>
        <patternFill>
          <bgColor rgb="FF78350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6B6D4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EF4444"/>
      <rgbColor rgb="FF666699"/>
      <rgbColor rgb="FF9CA3AF"/>
      <rgbColor rgb="FF064E3B"/>
      <rgbColor rgb="FF10B981"/>
      <rgbColor rgb="FF111827"/>
      <rgbColor rgb="FF0F172A"/>
      <rgbColor rgb="FF78350F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Trades by Asset Class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Trades by Broker (Top 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83254447"/>
        <c:axId val="21352893"/>
      </c:barChart>
      <c:catAx>
        <c:axId val="83254447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352893"/>
        <c:crosses val="autoZero"/>
        <c:auto val="1"/>
        <c:lblAlgn val="ctr"/>
        <c:lblOffset val="100"/>
        <c:noMultiLvlLbl val="0"/>
      </c:catAx>
      <c:valAx>
        <c:axId val="213528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2544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Break Distribution by Failure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Trade Volume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</c:ser>
        <c:gapWidth val="150"/>
        <c:overlap val="0"/>
        <c:axId val="21696745"/>
        <c:axId val="40708699"/>
      </c:barChart>
      <c:catAx>
        <c:axId val="21696745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708699"/>
        <c:crosses val="autoZero"/>
        <c:auto val="1"/>
        <c:lblAlgn val="ctr"/>
        <c:lblOffset val="100"/>
        <c:noMultiLvlLbl val="0"/>
      </c:catAx>
      <c:valAx>
        <c:axId val="407086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6967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Settlement Success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smooth val="1"/>
        </c:ser>
        <c:hiLowLines>
          <c:spPr>
            <a:ln w="0">
              <a:noFill/>
            </a:ln>
          </c:spPr>
        </c:hiLowLines>
        <c:marker val="0"/>
        <c:axId val="17909798"/>
        <c:axId val="19400423"/>
      </c:lineChart>
      <c:catAx>
        <c:axId val="17909798"/>
        <c:scaling>
          <c:orientation val="minMax"/>
        </c:scaling>
        <c:delete val="0"/>
        <c:axPos val="b"/>
        <c:numFmt formatCode="[$-409]mm/dd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00423"/>
        <c:crosses val="autoZero"/>
        <c:auto val="1"/>
        <c:lblAlgn val="ctr"/>
        <c:lblOffset val="100"/>
        <c:noMultiLvlLbl val="0"/>
      </c:catAx>
      <c:valAx>
        <c:axId val="194004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Success Rate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909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0</xdr:rowOff>
    </xdr:from>
    <xdr:to>
      <xdr:col>3</xdr:col>
      <xdr:colOff>236880</xdr:colOff>
      <xdr:row>37</xdr:row>
      <xdr:rowOff>170280</xdr:rowOff>
    </xdr:to>
    <xdr:graphicFrame>
      <xdr:nvGraphicFramePr>
        <xdr:cNvPr id="0" name="Chart 1"/>
        <xdr:cNvGraphicFramePr/>
      </xdr:nvGraphicFramePr>
      <xdr:xfrm>
        <a:off x="0" y="361944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0</xdr:rowOff>
    </xdr:from>
    <xdr:to>
      <xdr:col>10</xdr:col>
      <xdr:colOff>236520</xdr:colOff>
      <xdr:row>37</xdr:row>
      <xdr:rowOff>170280</xdr:rowOff>
    </xdr:to>
    <xdr:graphicFrame>
      <xdr:nvGraphicFramePr>
        <xdr:cNvPr id="1" name="Chart 2"/>
        <xdr:cNvGraphicFramePr/>
      </xdr:nvGraphicFramePr>
      <xdr:xfrm>
        <a:off x="11205720" y="361944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3</xdr:col>
      <xdr:colOff>236880</xdr:colOff>
      <xdr:row>52</xdr:row>
      <xdr:rowOff>170280</xdr:rowOff>
    </xdr:to>
    <xdr:graphicFrame>
      <xdr:nvGraphicFramePr>
        <xdr:cNvPr id="2" name="Chart 3"/>
        <xdr:cNvGraphicFramePr/>
      </xdr:nvGraphicFramePr>
      <xdr:xfrm>
        <a:off x="0" y="647712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34</xdr:row>
      <xdr:rowOff>0</xdr:rowOff>
    </xdr:from>
    <xdr:to>
      <xdr:col>10</xdr:col>
      <xdr:colOff>236520</xdr:colOff>
      <xdr:row>52</xdr:row>
      <xdr:rowOff>170280</xdr:rowOff>
    </xdr:to>
    <xdr:graphicFrame>
      <xdr:nvGraphicFramePr>
        <xdr:cNvPr id="3" name="Chart 4"/>
        <xdr:cNvGraphicFramePr/>
      </xdr:nvGraphicFramePr>
      <xdr:xfrm>
        <a:off x="11205720" y="647712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49</xdr:row>
      <xdr:rowOff>0</xdr:rowOff>
    </xdr:from>
    <xdr:to>
      <xdr:col>3</xdr:col>
      <xdr:colOff>236880</xdr:colOff>
      <xdr:row>67</xdr:row>
      <xdr:rowOff>170280</xdr:rowOff>
    </xdr:to>
    <xdr:graphicFrame>
      <xdr:nvGraphicFramePr>
        <xdr:cNvPr id="4" name="Chart 5"/>
        <xdr:cNvGraphicFramePr/>
      </xdr:nvGraphicFramePr>
      <xdr:xfrm>
        <a:off x="0" y="933444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2" min="11" style="1" width="18"/>
    <col collapsed="false" customWidth="true" hidden="false" outlineLevel="0" max="13" min="13" style="1" width="22"/>
    <col collapsed="false" customWidth="true" hidden="false" outlineLevel="0" max="14" min="14" style="1" width="14"/>
    <col collapsed="false" customWidth="true" hidden="false" outlineLevel="0" max="15" min="15" style="1" width="20"/>
    <col collapsed="false" customWidth="true" hidden="false" outlineLevel="0" max="16" min="16" style="1" width="12"/>
    <col collapsed="false" customWidth="true" hidden="false" outlineLevel="0" max="17" min="17" style="1" width="14"/>
    <col collapsed="false" customWidth="true" hidden="false" outlineLevel="0" max="19" min="18" style="1" width="12"/>
    <col collapsed="false" customWidth="true" hidden="false" outlineLevel="0" max="20" min="20" style="1" width="18"/>
    <col collapsed="false" customWidth="true" hidden="false" outlineLevel="0" max="21" min="21" style="1" width="14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  <c r="Q4" s="5" t="s">
        <v>18</v>
      </c>
      <c r="R4" s="5" t="s">
        <v>19</v>
      </c>
      <c r="S4" s="5" t="s">
        <v>20</v>
      </c>
      <c r="T4" s="5" t="s">
        <v>21</v>
      </c>
      <c r="U4" s="5" t="s">
        <v>22</v>
      </c>
    </row>
    <row r="5" customFormat="false" ht="15" hidden="false" customHeight="true" outlineLevel="0" collapsed="false">
      <c r="A5" s="6" t="s">
        <v>23</v>
      </c>
      <c r="B5" s="7" t="n">
        <v>45688</v>
      </c>
      <c r="C5" s="7" t="n">
        <v>45689</v>
      </c>
      <c r="D5" s="6" t="s">
        <v>24</v>
      </c>
      <c r="E5" s="6" t="s">
        <v>25</v>
      </c>
      <c r="F5" s="6" t="s">
        <v>26</v>
      </c>
      <c r="G5" s="6" t="s">
        <v>27</v>
      </c>
      <c r="H5" s="8" t="n">
        <v>200</v>
      </c>
      <c r="I5" s="9" t="n">
        <v>3749.1</v>
      </c>
      <c r="J5" s="9" t="n">
        <f aca="false">H5*I5</f>
        <v>749820</v>
      </c>
      <c r="K5" s="6" t="s">
        <v>28</v>
      </c>
      <c r="L5" s="6" t="s">
        <v>29</v>
      </c>
      <c r="M5" s="6" t="s">
        <v>30</v>
      </c>
      <c r="N5" s="6" t="s">
        <v>31</v>
      </c>
      <c r="O5" s="6"/>
      <c r="P5" s="8" t="n">
        <f aca="false">Config!$B$1-B5</f>
        <v>493</v>
      </c>
      <c r="Q5" s="8" t="n">
        <f aca="false">IFERROR(INDEX('Failure Reference'!$C$4:$C$9,MATCH(O5,'Failure Reference'!$A$4:$A$9,0)),0)</f>
        <v>0</v>
      </c>
      <c r="R5" s="8" t="n">
        <f aca="false">IF(N5="Settled",0,Q5+P5*0.5+IFERROR(INDEX(Config!$B$4:$B$7,MATCH(D5,Config!$A$4:$A$7,0)),1)+IF(C5-Config!$B$1&lt;=1,5,0))</f>
        <v>0</v>
      </c>
      <c r="S5" s="10" t="str">
        <f aca="false">IF(R5=0,"Green",IF(R5&lt;10,"Amber","Red"))</f>
        <v>Green</v>
      </c>
      <c r="T5" s="6" t="str">
        <f aca="false">IF(N5="Settled","None",IF(C5-Config!$B$1&lt;=0,"Overdue",IF(C5-Config!$B$1&lt;=1,"Critical",IF(C5-Config!$B$1&lt;=3,"High","Low"))))</f>
        <v>None</v>
      </c>
      <c r="U5" s="8" t="str">
        <f aca="false">IF(R5=0,"",RANK(R5,$R$5:$R$104,0))</f>
        <v/>
      </c>
    </row>
    <row r="6" customFormat="false" ht="15" hidden="false" customHeight="true" outlineLevel="0" collapsed="false">
      <c r="A6" s="6" t="s">
        <v>32</v>
      </c>
      <c r="B6" s="7" t="n">
        <v>45716</v>
      </c>
      <c r="C6" s="7" t="n">
        <v>45717</v>
      </c>
      <c r="D6" s="6" t="s">
        <v>24</v>
      </c>
      <c r="E6" s="6" t="s">
        <v>33</v>
      </c>
      <c r="F6" s="6" t="s">
        <v>34</v>
      </c>
      <c r="G6" s="6" t="s">
        <v>27</v>
      </c>
      <c r="H6" s="8" t="n">
        <v>200</v>
      </c>
      <c r="I6" s="9" t="n">
        <v>931.7</v>
      </c>
      <c r="J6" s="9" t="n">
        <f aca="false">H6*I6</f>
        <v>186340</v>
      </c>
      <c r="K6" s="6" t="s">
        <v>28</v>
      </c>
      <c r="L6" s="6" t="s">
        <v>35</v>
      </c>
      <c r="M6" s="6" t="s">
        <v>30</v>
      </c>
      <c r="N6" s="6" t="s">
        <v>31</v>
      </c>
      <c r="O6" s="6"/>
      <c r="P6" s="8" t="n">
        <f aca="false">Config!$B$1-B6</f>
        <v>465</v>
      </c>
      <c r="Q6" s="8" t="n">
        <f aca="false">IFERROR(INDEX('Failure Reference'!$C$4:$C$9,MATCH(O6,'Failure Reference'!$A$4:$A$9,0)),0)</f>
        <v>0</v>
      </c>
      <c r="R6" s="8" t="n">
        <f aca="false">IF(N6="Settled",0,Q6+P6*0.5+IFERROR(INDEX(Config!$B$4:$B$7,MATCH(D6,Config!$A$4:$A$7,0)),1)+IF(C6-Config!$B$1&lt;=1,5,0))</f>
        <v>0</v>
      </c>
      <c r="S6" s="10" t="str">
        <f aca="false">IF(R6=0,"Green",IF(R6&lt;10,"Amber","Red"))</f>
        <v>Green</v>
      </c>
      <c r="T6" s="6" t="str">
        <f aca="false">IF(N6="Settled","None",IF(C6-Config!$B$1&lt;=0,"Overdue",IF(C6-Config!$B$1&lt;=1,"Critical",IF(C6-Config!$B$1&lt;=3,"High","Low"))))</f>
        <v>None</v>
      </c>
      <c r="U6" s="8" t="str">
        <f aca="false">IF(R6=0,"",RANK(R6,$R$5:$R$104,0))</f>
        <v/>
      </c>
    </row>
    <row r="7" customFormat="false" ht="15" hidden="false" customHeight="true" outlineLevel="0" collapsed="false">
      <c r="A7" s="6" t="s">
        <v>36</v>
      </c>
      <c r="B7" s="7" t="n">
        <v>45675</v>
      </c>
      <c r="C7" s="7" t="n">
        <v>45676</v>
      </c>
      <c r="D7" s="6" t="s">
        <v>37</v>
      </c>
      <c r="E7" s="6" t="s">
        <v>38</v>
      </c>
      <c r="F7" s="6" t="s">
        <v>39</v>
      </c>
      <c r="G7" s="6" t="s">
        <v>27</v>
      </c>
      <c r="H7" s="8" t="n">
        <v>5000</v>
      </c>
      <c r="I7" s="9" t="n">
        <v>99.51</v>
      </c>
      <c r="J7" s="9" t="n">
        <f aca="false">H7*I7</f>
        <v>497550</v>
      </c>
      <c r="K7" s="6" t="s">
        <v>40</v>
      </c>
      <c r="L7" s="6" t="s">
        <v>41</v>
      </c>
      <c r="M7" s="6" t="s">
        <v>42</v>
      </c>
      <c r="N7" s="6" t="s">
        <v>43</v>
      </c>
      <c r="O7" s="6" t="s">
        <v>44</v>
      </c>
      <c r="P7" s="8" t="n">
        <f aca="false">Config!$B$1-B7</f>
        <v>506</v>
      </c>
      <c r="Q7" s="8" t="n">
        <f aca="false">IFERROR(INDEX('Failure Reference'!$C$4:$C$9,MATCH(O7,'Failure Reference'!$A$4:$A$9,0)),0)</f>
        <v>8</v>
      </c>
      <c r="R7" s="8" t="n">
        <f aca="false">IF(N7="Settled",0,Q7+P7*0.5+IFERROR(INDEX(Config!$B$4:$B$7,MATCH(D7,Config!$A$4:$A$7,0)),1)+IF(C7-Config!$B$1&lt;=1,5,0))</f>
        <v>267.5</v>
      </c>
      <c r="S7" s="10" t="str">
        <f aca="false">IF(R7=0,"Green",IF(R7&lt;10,"Amber","Red"))</f>
        <v>Red</v>
      </c>
      <c r="T7" s="6" t="str">
        <f aca="false">IF(N7="Settled","None",IF(C7-Config!$B$1&lt;=0,"Overdue",IF(C7-Config!$B$1&lt;=1,"Critical",IF(C7-Config!$B$1&lt;=3,"High","Low"))))</f>
        <v>Overdue</v>
      </c>
      <c r="U7" s="8" t="n">
        <f aca="false">IF(R7=0,"",RANK(R7,$R$5:$R$104,0))</f>
        <v>2</v>
      </c>
    </row>
    <row r="8" customFormat="false" ht="15" hidden="false" customHeight="true" outlineLevel="0" collapsed="false">
      <c r="A8" s="6" t="s">
        <v>45</v>
      </c>
      <c r="B8" s="7" t="n">
        <v>45829</v>
      </c>
      <c r="C8" s="7" t="n">
        <v>45830</v>
      </c>
      <c r="D8" s="6" t="s">
        <v>37</v>
      </c>
      <c r="E8" s="6" t="s">
        <v>46</v>
      </c>
      <c r="F8" s="6" t="s">
        <v>47</v>
      </c>
      <c r="G8" s="6" t="s">
        <v>27</v>
      </c>
      <c r="H8" s="8" t="n">
        <v>2000</v>
      </c>
      <c r="I8" s="9" t="n">
        <v>99.66</v>
      </c>
      <c r="J8" s="9" t="n">
        <f aca="false">H8*I8</f>
        <v>199320</v>
      </c>
      <c r="K8" s="6" t="s">
        <v>29</v>
      </c>
      <c r="L8" s="6" t="s">
        <v>48</v>
      </c>
      <c r="M8" s="6" t="s">
        <v>30</v>
      </c>
      <c r="N8" s="6" t="s">
        <v>31</v>
      </c>
      <c r="O8" s="6"/>
      <c r="P8" s="8" t="n">
        <f aca="false">Config!$B$1-B8</f>
        <v>352</v>
      </c>
      <c r="Q8" s="8" t="n">
        <f aca="false">IFERROR(INDEX('Failure Reference'!$C$4:$C$9,MATCH(O8,'Failure Reference'!$A$4:$A$9,0)),0)</f>
        <v>0</v>
      </c>
      <c r="R8" s="8" t="n">
        <f aca="false">IF(N8="Settled",0,Q8+P8*0.5+IFERROR(INDEX(Config!$B$4:$B$7,MATCH(D8,Config!$A$4:$A$7,0)),1)+IF(C8-Config!$B$1&lt;=1,5,0))</f>
        <v>0</v>
      </c>
      <c r="S8" s="10" t="str">
        <f aca="false">IF(R8=0,"Green",IF(R8&lt;10,"Amber","Red"))</f>
        <v>Green</v>
      </c>
      <c r="T8" s="6" t="str">
        <f aca="false">IF(N8="Settled","None",IF(C8-Config!$B$1&lt;=0,"Overdue",IF(C8-Config!$B$1&lt;=1,"Critical",IF(C8-Config!$B$1&lt;=3,"High","Low"))))</f>
        <v>None</v>
      </c>
      <c r="U8" s="8" t="str">
        <f aca="false">IF(R8=0,"",RANK(R8,$R$5:$R$104,0))</f>
        <v/>
      </c>
    </row>
    <row r="9" customFormat="false" ht="15" hidden="false" customHeight="true" outlineLevel="0" collapsed="false">
      <c r="A9" s="6" t="s">
        <v>49</v>
      </c>
      <c r="B9" s="7" t="n">
        <v>45720</v>
      </c>
      <c r="C9" s="7" t="n">
        <v>45721</v>
      </c>
      <c r="D9" s="6" t="s">
        <v>24</v>
      </c>
      <c r="E9" s="6" t="s">
        <v>50</v>
      </c>
      <c r="F9" s="6" t="s">
        <v>51</v>
      </c>
      <c r="G9" s="6" t="s">
        <v>27</v>
      </c>
      <c r="H9" s="8" t="n">
        <v>500</v>
      </c>
      <c r="I9" s="9" t="n">
        <v>2978.87</v>
      </c>
      <c r="J9" s="9" t="n">
        <f aca="false">H9*I9</f>
        <v>1489435</v>
      </c>
      <c r="K9" s="6" t="s">
        <v>40</v>
      </c>
      <c r="L9" s="6" t="s">
        <v>52</v>
      </c>
      <c r="M9" s="6" t="s">
        <v>30</v>
      </c>
      <c r="N9" s="6" t="s">
        <v>31</v>
      </c>
      <c r="O9" s="6"/>
      <c r="P9" s="8" t="n">
        <f aca="false">Config!$B$1-B9</f>
        <v>461</v>
      </c>
      <c r="Q9" s="8" t="n">
        <f aca="false">IFERROR(INDEX('Failure Reference'!$C$4:$C$9,MATCH(O9,'Failure Reference'!$A$4:$A$9,0)),0)</f>
        <v>0</v>
      </c>
      <c r="R9" s="8" t="n">
        <f aca="false">IF(N9="Settled",0,Q9+P9*0.5+IFERROR(INDEX(Config!$B$4:$B$7,MATCH(D9,Config!$A$4:$A$7,0)),1)+IF(C9-Config!$B$1&lt;=1,5,0))</f>
        <v>0</v>
      </c>
      <c r="S9" s="10" t="str">
        <f aca="false">IF(R9=0,"Green",IF(R9&lt;10,"Amber","Red"))</f>
        <v>Green</v>
      </c>
      <c r="T9" s="6" t="str">
        <f aca="false">IF(N9="Settled","None",IF(C9-Config!$B$1&lt;=0,"Overdue",IF(C9-Config!$B$1&lt;=1,"Critical",IF(C9-Config!$B$1&lt;=3,"High","Low"))))</f>
        <v>None</v>
      </c>
      <c r="U9" s="8" t="str">
        <f aca="false">IF(R9=0,"",RANK(R9,$R$5:$R$104,0))</f>
        <v/>
      </c>
    </row>
    <row r="10" customFormat="false" ht="15" hidden="false" customHeight="true" outlineLevel="0" collapsed="false">
      <c r="A10" s="6" t="s">
        <v>53</v>
      </c>
      <c r="B10" s="7" t="n">
        <v>45682</v>
      </c>
      <c r="C10" s="7" t="n">
        <v>45683</v>
      </c>
      <c r="D10" s="6" t="s">
        <v>37</v>
      </c>
      <c r="E10" s="6" t="s">
        <v>54</v>
      </c>
      <c r="F10" s="6" t="s">
        <v>55</v>
      </c>
      <c r="G10" s="6" t="s">
        <v>27</v>
      </c>
      <c r="H10" s="8" t="n">
        <v>10000</v>
      </c>
      <c r="I10" s="9" t="n">
        <v>101.7</v>
      </c>
      <c r="J10" s="9" t="n">
        <f aca="false">H10*I10</f>
        <v>1017000</v>
      </c>
      <c r="K10" s="6" t="s">
        <v>56</v>
      </c>
      <c r="L10" s="6" t="s">
        <v>57</v>
      </c>
      <c r="M10" s="6" t="s">
        <v>30</v>
      </c>
      <c r="N10" s="6" t="s">
        <v>31</v>
      </c>
      <c r="O10" s="6"/>
      <c r="P10" s="8" t="n">
        <f aca="false">Config!$B$1-B10</f>
        <v>499</v>
      </c>
      <c r="Q10" s="8" t="n">
        <f aca="false">IFERROR(INDEX('Failure Reference'!$C$4:$C$9,MATCH(O10,'Failure Reference'!$A$4:$A$9,0)),0)</f>
        <v>0</v>
      </c>
      <c r="R10" s="8" t="n">
        <f aca="false">IF(N10="Settled",0,Q10+P10*0.5+IFERROR(INDEX(Config!$B$4:$B$7,MATCH(D10,Config!$A$4:$A$7,0)),1)+IF(C10-Config!$B$1&lt;=1,5,0))</f>
        <v>0</v>
      </c>
      <c r="S10" s="10" t="str">
        <f aca="false">IF(R10=0,"Green",IF(R10&lt;10,"Amber","Red"))</f>
        <v>Green</v>
      </c>
      <c r="T10" s="6" t="str">
        <f aca="false">IF(N10="Settled","None",IF(C10-Config!$B$1&lt;=0,"Overdue",IF(C10-Config!$B$1&lt;=1,"Critical",IF(C10-Config!$B$1&lt;=3,"High","Low"))))</f>
        <v>None</v>
      </c>
      <c r="U10" s="8" t="str">
        <f aca="false">IF(R10=0,"",RANK(R10,$R$5:$R$104,0))</f>
        <v/>
      </c>
    </row>
    <row r="11" customFormat="false" ht="15" hidden="false" customHeight="true" outlineLevel="0" collapsed="false">
      <c r="A11" s="6" t="s">
        <v>58</v>
      </c>
      <c r="B11" s="7" t="n">
        <v>45671</v>
      </c>
      <c r="C11" s="7" t="n">
        <v>45672</v>
      </c>
      <c r="D11" s="6" t="s">
        <v>37</v>
      </c>
      <c r="E11" s="6" t="s">
        <v>54</v>
      </c>
      <c r="F11" s="6" t="s">
        <v>55</v>
      </c>
      <c r="G11" s="6" t="s">
        <v>27</v>
      </c>
      <c r="H11" s="8" t="n">
        <v>1000</v>
      </c>
      <c r="I11" s="9" t="n">
        <v>100.5</v>
      </c>
      <c r="J11" s="9" t="n">
        <f aca="false">H11*I11</f>
        <v>100500</v>
      </c>
      <c r="K11" s="6" t="s">
        <v>41</v>
      </c>
      <c r="L11" s="6" t="s">
        <v>52</v>
      </c>
      <c r="M11" s="6" t="s">
        <v>30</v>
      </c>
      <c r="N11" s="6" t="s">
        <v>31</v>
      </c>
      <c r="O11" s="6"/>
      <c r="P11" s="8" t="n">
        <f aca="false">Config!$B$1-B11</f>
        <v>510</v>
      </c>
      <c r="Q11" s="8" t="n">
        <f aca="false">IFERROR(INDEX('Failure Reference'!$C$4:$C$9,MATCH(O11,'Failure Reference'!$A$4:$A$9,0)),0)</f>
        <v>0</v>
      </c>
      <c r="R11" s="8" t="n">
        <f aca="false">IF(N11="Settled",0,Q11+P11*0.5+IFERROR(INDEX(Config!$B$4:$B$7,MATCH(D11,Config!$A$4:$A$7,0)),1)+IF(C11-Config!$B$1&lt;=1,5,0))</f>
        <v>0</v>
      </c>
      <c r="S11" s="10" t="str">
        <f aca="false">IF(R11=0,"Green",IF(R11&lt;10,"Amber","Red"))</f>
        <v>Green</v>
      </c>
      <c r="T11" s="6" t="str">
        <f aca="false">IF(N11="Settled","None",IF(C11-Config!$B$1&lt;=0,"Overdue",IF(C11-Config!$B$1&lt;=1,"Critical",IF(C11-Config!$B$1&lt;=3,"High","Low"))))</f>
        <v>None</v>
      </c>
      <c r="U11" s="8" t="str">
        <f aca="false">IF(R11=0,"",RANK(R11,$R$5:$R$104,0))</f>
        <v/>
      </c>
    </row>
    <row r="12" customFormat="false" ht="15" hidden="false" customHeight="true" outlineLevel="0" collapsed="false">
      <c r="A12" s="6" t="s">
        <v>59</v>
      </c>
      <c r="B12" s="7" t="n">
        <v>45721</v>
      </c>
      <c r="C12" s="7" t="n">
        <v>45722</v>
      </c>
      <c r="D12" s="6" t="s">
        <v>37</v>
      </c>
      <c r="E12" s="6" t="s">
        <v>60</v>
      </c>
      <c r="F12" s="6" t="s">
        <v>61</v>
      </c>
      <c r="G12" s="6" t="s">
        <v>27</v>
      </c>
      <c r="H12" s="8" t="n">
        <v>2000</v>
      </c>
      <c r="I12" s="9" t="n">
        <v>98.64</v>
      </c>
      <c r="J12" s="9" t="n">
        <f aca="false">H12*I12</f>
        <v>197280</v>
      </c>
      <c r="K12" s="6" t="s">
        <v>62</v>
      </c>
      <c r="L12" s="6" t="s">
        <v>48</v>
      </c>
      <c r="M12" s="6" t="s">
        <v>30</v>
      </c>
      <c r="N12" s="6" t="s">
        <v>31</v>
      </c>
      <c r="O12" s="6"/>
      <c r="P12" s="8" t="n">
        <f aca="false">Config!$B$1-B12</f>
        <v>460</v>
      </c>
      <c r="Q12" s="8" t="n">
        <f aca="false">IFERROR(INDEX('Failure Reference'!$C$4:$C$9,MATCH(O12,'Failure Reference'!$A$4:$A$9,0)),0)</f>
        <v>0</v>
      </c>
      <c r="R12" s="8" t="n">
        <f aca="false">IF(N12="Settled",0,Q12+P12*0.5+IFERROR(INDEX(Config!$B$4:$B$7,MATCH(D12,Config!$A$4:$A$7,0)),1)+IF(C12-Config!$B$1&lt;=1,5,0))</f>
        <v>0</v>
      </c>
      <c r="S12" s="10" t="str">
        <f aca="false">IF(R12=0,"Green",IF(R12&lt;10,"Amber","Red"))</f>
        <v>Green</v>
      </c>
      <c r="T12" s="6" t="str">
        <f aca="false">IF(N12="Settled","None",IF(C12-Config!$B$1&lt;=0,"Overdue",IF(C12-Config!$B$1&lt;=1,"Critical",IF(C12-Config!$B$1&lt;=3,"High","Low"))))</f>
        <v>None</v>
      </c>
      <c r="U12" s="8" t="str">
        <f aca="false">IF(R12=0,"",RANK(R12,$R$5:$R$104,0))</f>
        <v/>
      </c>
    </row>
    <row r="13" customFormat="false" ht="15" hidden="false" customHeight="true" outlineLevel="0" collapsed="false">
      <c r="A13" s="6" t="s">
        <v>63</v>
      </c>
      <c r="B13" s="7" t="n">
        <v>45704</v>
      </c>
      <c r="C13" s="7" t="n">
        <v>45705</v>
      </c>
      <c r="D13" s="6" t="s">
        <v>37</v>
      </c>
      <c r="E13" s="6" t="s">
        <v>64</v>
      </c>
      <c r="F13" s="6" t="s">
        <v>65</v>
      </c>
      <c r="G13" s="6" t="s">
        <v>27</v>
      </c>
      <c r="H13" s="8" t="n">
        <v>10000</v>
      </c>
      <c r="I13" s="9" t="n">
        <v>99.74</v>
      </c>
      <c r="J13" s="9" t="n">
        <f aca="false">H13*I13</f>
        <v>997400</v>
      </c>
      <c r="K13" s="6" t="s">
        <v>52</v>
      </c>
      <c r="L13" s="6" t="s">
        <v>57</v>
      </c>
      <c r="M13" s="6" t="s">
        <v>30</v>
      </c>
      <c r="N13" s="6" t="s">
        <v>31</v>
      </c>
      <c r="O13" s="6"/>
      <c r="P13" s="8" t="n">
        <f aca="false">Config!$B$1-B13</f>
        <v>477</v>
      </c>
      <c r="Q13" s="8" t="n">
        <f aca="false">IFERROR(INDEX('Failure Reference'!$C$4:$C$9,MATCH(O13,'Failure Reference'!$A$4:$A$9,0)),0)</f>
        <v>0</v>
      </c>
      <c r="R13" s="8" t="n">
        <f aca="false">IF(N13="Settled",0,Q13+P13*0.5+IFERROR(INDEX(Config!$B$4:$B$7,MATCH(D13,Config!$A$4:$A$7,0)),1)+IF(C13-Config!$B$1&lt;=1,5,0))</f>
        <v>0</v>
      </c>
      <c r="S13" s="10" t="str">
        <f aca="false">IF(R13=0,"Green",IF(R13&lt;10,"Amber","Red"))</f>
        <v>Green</v>
      </c>
      <c r="T13" s="6" t="str">
        <f aca="false">IF(N13="Settled","None",IF(C13-Config!$B$1&lt;=0,"Overdue",IF(C13-Config!$B$1&lt;=1,"Critical",IF(C13-Config!$B$1&lt;=3,"High","Low"))))</f>
        <v>None</v>
      </c>
      <c r="U13" s="8" t="str">
        <f aca="false">IF(R13=0,"",RANK(R13,$R$5:$R$104,0))</f>
        <v/>
      </c>
    </row>
    <row r="14" customFormat="false" ht="15" hidden="false" customHeight="true" outlineLevel="0" collapsed="false">
      <c r="A14" s="6" t="s">
        <v>66</v>
      </c>
      <c r="B14" s="7" t="n">
        <v>45798</v>
      </c>
      <c r="C14" s="7" t="n">
        <v>45799</v>
      </c>
      <c r="D14" s="6" t="s">
        <v>67</v>
      </c>
      <c r="E14" s="6" t="s">
        <v>68</v>
      </c>
      <c r="F14" s="6" t="s">
        <v>69</v>
      </c>
      <c r="G14" s="6" t="s">
        <v>27</v>
      </c>
      <c r="H14" s="8" t="n">
        <v>10</v>
      </c>
      <c r="I14" s="9" t="n">
        <v>74044.27</v>
      </c>
      <c r="J14" s="9" t="n">
        <f aca="false">H14*I14</f>
        <v>740442.7</v>
      </c>
      <c r="K14" s="6" t="s">
        <v>52</v>
      </c>
      <c r="L14" s="6" t="s">
        <v>35</v>
      </c>
      <c r="M14" s="6" t="s">
        <v>70</v>
      </c>
      <c r="N14" s="6" t="s">
        <v>71</v>
      </c>
      <c r="O14" s="6"/>
      <c r="P14" s="8" t="n">
        <f aca="false">Config!$B$1-B14</f>
        <v>383</v>
      </c>
      <c r="Q14" s="8" t="n">
        <f aca="false">IFERROR(INDEX('Failure Reference'!$C$4:$C$9,MATCH(O14,'Failure Reference'!$A$4:$A$9,0)),0)</f>
        <v>0</v>
      </c>
      <c r="R14" s="8" t="n">
        <f aca="false">IF(N14="Settled",0,Q14+P14*0.5+IFERROR(INDEX(Config!$B$4:$B$7,MATCH(D14,Config!$A$4:$A$7,0)),1)+IF(C14-Config!$B$1&lt;=1,5,0))</f>
        <v>199</v>
      </c>
      <c r="S14" s="10" t="str">
        <f aca="false">IF(R14=0,"Green",IF(R14&lt;10,"Amber","Red"))</f>
        <v>Red</v>
      </c>
      <c r="T14" s="6" t="str">
        <f aca="false">IF(N14="Settled","None",IF(C14-Config!$B$1&lt;=0,"Overdue",IF(C14-Config!$B$1&lt;=1,"Critical",IF(C14-Config!$B$1&lt;=3,"High","Low"))))</f>
        <v>Overdue</v>
      </c>
      <c r="U14" s="8" t="n">
        <f aca="false">IF(R14=0,"",RANK(R14,$R$5:$R$104,0))</f>
        <v>22</v>
      </c>
    </row>
    <row r="15" customFormat="false" ht="15" hidden="false" customHeight="true" outlineLevel="0" collapsed="false">
      <c r="A15" s="6" t="s">
        <v>72</v>
      </c>
      <c r="B15" s="7" t="n">
        <v>45762</v>
      </c>
      <c r="C15" s="7" t="n">
        <v>45763</v>
      </c>
      <c r="D15" s="6" t="s">
        <v>24</v>
      </c>
      <c r="E15" s="6" t="s">
        <v>73</v>
      </c>
      <c r="F15" s="6" t="s">
        <v>74</v>
      </c>
      <c r="G15" s="6" t="s">
        <v>27</v>
      </c>
      <c r="H15" s="8" t="n">
        <v>500</v>
      </c>
      <c r="I15" s="9" t="n">
        <v>417.69</v>
      </c>
      <c r="J15" s="9" t="n">
        <f aca="false">H15*I15</f>
        <v>208845</v>
      </c>
      <c r="K15" s="6" t="s">
        <v>56</v>
      </c>
      <c r="L15" s="6" t="s">
        <v>28</v>
      </c>
      <c r="M15" s="6" t="s">
        <v>30</v>
      </c>
      <c r="N15" s="6" t="s">
        <v>31</v>
      </c>
      <c r="O15" s="6"/>
      <c r="P15" s="8" t="n">
        <f aca="false">Config!$B$1-B15</f>
        <v>419</v>
      </c>
      <c r="Q15" s="8" t="n">
        <f aca="false">IFERROR(INDEX('Failure Reference'!$C$4:$C$9,MATCH(O15,'Failure Reference'!$A$4:$A$9,0)),0)</f>
        <v>0</v>
      </c>
      <c r="R15" s="8" t="n">
        <f aca="false">IF(N15="Settled",0,Q15+P15*0.5+IFERROR(INDEX(Config!$B$4:$B$7,MATCH(D15,Config!$A$4:$A$7,0)),1)+IF(C15-Config!$B$1&lt;=1,5,0))</f>
        <v>0</v>
      </c>
      <c r="S15" s="10" t="str">
        <f aca="false">IF(R15=0,"Green",IF(R15&lt;10,"Amber","Red"))</f>
        <v>Green</v>
      </c>
      <c r="T15" s="6" t="str">
        <f aca="false">IF(N15="Settled","None",IF(C15-Config!$B$1&lt;=0,"Overdue",IF(C15-Config!$B$1&lt;=1,"Critical",IF(C15-Config!$B$1&lt;=3,"High","Low"))))</f>
        <v>None</v>
      </c>
      <c r="U15" s="8" t="str">
        <f aca="false">IF(R15=0,"",RANK(R15,$R$5:$R$104,0))</f>
        <v/>
      </c>
    </row>
    <row r="16" customFormat="false" ht="15" hidden="false" customHeight="true" outlineLevel="0" collapsed="false">
      <c r="A16" s="6" t="s">
        <v>75</v>
      </c>
      <c r="B16" s="7" t="n">
        <v>45700</v>
      </c>
      <c r="C16" s="7" t="n">
        <v>45701</v>
      </c>
      <c r="D16" s="6" t="s">
        <v>67</v>
      </c>
      <c r="E16" s="6" t="s">
        <v>76</v>
      </c>
      <c r="F16" s="6" t="s">
        <v>69</v>
      </c>
      <c r="G16" s="6" t="s">
        <v>77</v>
      </c>
      <c r="H16" s="8" t="n">
        <v>10</v>
      </c>
      <c r="I16" s="9" t="n">
        <v>3.04</v>
      </c>
      <c r="J16" s="9" t="n">
        <f aca="false">H16*I16</f>
        <v>30.4</v>
      </c>
      <c r="K16" s="6" t="s">
        <v>48</v>
      </c>
      <c r="L16" s="6" t="s">
        <v>35</v>
      </c>
      <c r="M16" s="6" t="s">
        <v>30</v>
      </c>
      <c r="N16" s="6" t="s">
        <v>31</v>
      </c>
      <c r="O16" s="6"/>
      <c r="P16" s="8" t="n">
        <f aca="false">Config!$B$1-B16</f>
        <v>481</v>
      </c>
      <c r="Q16" s="8" t="n">
        <f aca="false">IFERROR(INDEX('Failure Reference'!$C$4:$C$9,MATCH(O16,'Failure Reference'!$A$4:$A$9,0)),0)</f>
        <v>0</v>
      </c>
      <c r="R16" s="8" t="n">
        <f aca="false">IF(N16="Settled",0,Q16+P16*0.5+IFERROR(INDEX(Config!$B$4:$B$7,MATCH(D16,Config!$A$4:$A$7,0)),1)+IF(C16-Config!$B$1&lt;=1,5,0))</f>
        <v>0</v>
      </c>
      <c r="S16" s="10" t="str">
        <f aca="false">IF(R16=0,"Green",IF(R16&lt;10,"Amber","Red"))</f>
        <v>Green</v>
      </c>
      <c r="T16" s="6" t="str">
        <f aca="false">IF(N16="Settled","None",IF(C16-Config!$B$1&lt;=0,"Overdue",IF(C16-Config!$B$1&lt;=1,"Critical",IF(C16-Config!$B$1&lt;=3,"High","Low"))))</f>
        <v>None</v>
      </c>
      <c r="U16" s="8" t="str">
        <f aca="false">IF(R16=0,"",RANK(R16,$R$5:$R$104,0))</f>
        <v/>
      </c>
    </row>
    <row r="17" customFormat="false" ht="15" hidden="false" customHeight="true" outlineLevel="0" collapsed="false">
      <c r="A17" s="6" t="s">
        <v>78</v>
      </c>
      <c r="B17" s="7" t="n">
        <v>45766</v>
      </c>
      <c r="C17" s="7" t="n">
        <v>45767</v>
      </c>
      <c r="D17" s="6" t="s">
        <v>37</v>
      </c>
      <c r="E17" s="6" t="s">
        <v>54</v>
      </c>
      <c r="F17" s="6" t="s">
        <v>55</v>
      </c>
      <c r="G17" s="6" t="s">
        <v>27</v>
      </c>
      <c r="H17" s="8" t="n">
        <v>25000</v>
      </c>
      <c r="I17" s="9" t="n">
        <v>102.96</v>
      </c>
      <c r="J17" s="9" t="n">
        <f aca="false">H17*I17</f>
        <v>2574000</v>
      </c>
      <c r="K17" s="6" t="s">
        <v>48</v>
      </c>
      <c r="L17" s="6" t="s">
        <v>62</v>
      </c>
      <c r="M17" s="6" t="s">
        <v>30</v>
      </c>
      <c r="N17" s="6" t="s">
        <v>31</v>
      </c>
      <c r="O17" s="6"/>
      <c r="P17" s="8" t="n">
        <f aca="false">Config!$B$1-B17</f>
        <v>415</v>
      </c>
      <c r="Q17" s="8" t="n">
        <f aca="false">IFERROR(INDEX('Failure Reference'!$C$4:$C$9,MATCH(O17,'Failure Reference'!$A$4:$A$9,0)),0)</f>
        <v>0</v>
      </c>
      <c r="R17" s="8" t="n">
        <f aca="false">IF(N17="Settled",0,Q17+P17*0.5+IFERROR(INDEX(Config!$B$4:$B$7,MATCH(D17,Config!$A$4:$A$7,0)),1)+IF(C17-Config!$B$1&lt;=1,5,0))</f>
        <v>0</v>
      </c>
      <c r="S17" s="10" t="str">
        <f aca="false">IF(R17=0,"Green",IF(R17&lt;10,"Amber","Red"))</f>
        <v>Green</v>
      </c>
      <c r="T17" s="6" t="str">
        <f aca="false">IF(N17="Settled","None",IF(C17-Config!$B$1&lt;=0,"Overdue",IF(C17-Config!$B$1&lt;=1,"Critical",IF(C17-Config!$B$1&lt;=3,"High","Low"))))</f>
        <v>None</v>
      </c>
      <c r="U17" s="8" t="str">
        <f aca="false">IF(R17=0,"",RANK(R17,$R$5:$R$104,0))</f>
        <v/>
      </c>
    </row>
    <row r="18" customFormat="false" ht="15" hidden="false" customHeight="true" outlineLevel="0" collapsed="false">
      <c r="A18" s="6" t="s">
        <v>79</v>
      </c>
      <c r="B18" s="7" t="n">
        <v>45706</v>
      </c>
      <c r="C18" s="7" t="n">
        <v>45707</v>
      </c>
      <c r="D18" s="6" t="s">
        <v>24</v>
      </c>
      <c r="E18" s="6" t="s">
        <v>80</v>
      </c>
      <c r="F18" s="6" t="s">
        <v>81</v>
      </c>
      <c r="G18" s="6" t="s">
        <v>27</v>
      </c>
      <c r="H18" s="8" t="n">
        <v>200</v>
      </c>
      <c r="I18" s="9" t="n">
        <v>1172.5</v>
      </c>
      <c r="J18" s="9" t="n">
        <f aca="false">H18*I18</f>
        <v>234500</v>
      </c>
      <c r="K18" s="6" t="s">
        <v>29</v>
      </c>
      <c r="L18" s="6" t="s">
        <v>57</v>
      </c>
      <c r="M18" s="6" t="s">
        <v>30</v>
      </c>
      <c r="N18" s="6" t="s">
        <v>31</v>
      </c>
      <c r="O18" s="6"/>
      <c r="P18" s="8" t="n">
        <f aca="false">Config!$B$1-B18</f>
        <v>475</v>
      </c>
      <c r="Q18" s="8" t="n">
        <f aca="false">IFERROR(INDEX('Failure Reference'!$C$4:$C$9,MATCH(O18,'Failure Reference'!$A$4:$A$9,0)),0)</f>
        <v>0</v>
      </c>
      <c r="R18" s="8" t="n">
        <f aca="false">IF(N18="Settled",0,Q18+P18*0.5+IFERROR(INDEX(Config!$B$4:$B$7,MATCH(D18,Config!$A$4:$A$7,0)),1)+IF(C18-Config!$B$1&lt;=1,5,0))</f>
        <v>0</v>
      </c>
      <c r="S18" s="10" t="str">
        <f aca="false">IF(R18=0,"Green",IF(R18&lt;10,"Amber","Red"))</f>
        <v>Green</v>
      </c>
      <c r="T18" s="6" t="str">
        <f aca="false">IF(N18="Settled","None",IF(C18-Config!$B$1&lt;=0,"Overdue",IF(C18-Config!$B$1&lt;=1,"Critical",IF(C18-Config!$B$1&lt;=3,"High","Low"))))</f>
        <v>None</v>
      </c>
      <c r="U18" s="8" t="str">
        <f aca="false">IF(R18=0,"",RANK(R18,$R$5:$R$104,0))</f>
        <v/>
      </c>
    </row>
    <row r="19" customFormat="false" ht="15" hidden="false" customHeight="true" outlineLevel="0" collapsed="false">
      <c r="A19" s="6" t="s">
        <v>82</v>
      </c>
      <c r="B19" s="7" t="n">
        <v>45673</v>
      </c>
      <c r="C19" s="7" t="n">
        <v>45674</v>
      </c>
      <c r="D19" s="6" t="s">
        <v>24</v>
      </c>
      <c r="E19" s="6" t="s">
        <v>83</v>
      </c>
      <c r="F19" s="6" t="s">
        <v>84</v>
      </c>
      <c r="G19" s="6" t="s">
        <v>27</v>
      </c>
      <c r="H19" s="8" t="n">
        <v>300</v>
      </c>
      <c r="I19" s="9" t="n">
        <v>10751.81</v>
      </c>
      <c r="J19" s="9" t="n">
        <f aca="false">H19*I19</f>
        <v>3225543</v>
      </c>
      <c r="K19" s="6" t="s">
        <v>29</v>
      </c>
      <c r="L19" s="6" t="s">
        <v>48</v>
      </c>
      <c r="M19" s="6" t="s">
        <v>30</v>
      </c>
      <c r="N19" s="6" t="s">
        <v>31</v>
      </c>
      <c r="O19" s="6"/>
      <c r="P19" s="8" t="n">
        <f aca="false">Config!$B$1-B19</f>
        <v>508</v>
      </c>
      <c r="Q19" s="8" t="n">
        <f aca="false">IFERROR(INDEX('Failure Reference'!$C$4:$C$9,MATCH(O19,'Failure Reference'!$A$4:$A$9,0)),0)</f>
        <v>0</v>
      </c>
      <c r="R19" s="8" t="n">
        <f aca="false">IF(N19="Settled",0,Q19+P19*0.5+IFERROR(INDEX(Config!$B$4:$B$7,MATCH(D19,Config!$A$4:$A$7,0)),1)+IF(C19-Config!$B$1&lt;=1,5,0))</f>
        <v>0</v>
      </c>
      <c r="S19" s="10" t="str">
        <f aca="false">IF(R19=0,"Green",IF(R19&lt;10,"Amber","Red"))</f>
        <v>Green</v>
      </c>
      <c r="T19" s="6" t="str">
        <f aca="false">IF(N19="Settled","None",IF(C19-Config!$B$1&lt;=0,"Overdue",IF(C19-Config!$B$1&lt;=1,"Critical",IF(C19-Config!$B$1&lt;=3,"High","Low"))))</f>
        <v>None</v>
      </c>
      <c r="U19" s="8" t="str">
        <f aca="false">IF(R19=0,"",RANK(R19,$R$5:$R$104,0))</f>
        <v/>
      </c>
    </row>
    <row r="20" customFormat="false" ht="15" hidden="false" customHeight="true" outlineLevel="0" collapsed="false">
      <c r="A20" s="6" t="s">
        <v>85</v>
      </c>
      <c r="B20" s="7" t="n">
        <v>45786</v>
      </c>
      <c r="C20" s="7" t="n">
        <v>45787</v>
      </c>
      <c r="D20" s="6" t="s">
        <v>86</v>
      </c>
      <c r="E20" s="6" t="s">
        <v>87</v>
      </c>
      <c r="F20" s="6" t="s">
        <v>69</v>
      </c>
      <c r="G20" s="6" t="s">
        <v>27</v>
      </c>
      <c r="H20" s="8" t="n">
        <v>2</v>
      </c>
      <c r="I20" s="9" t="n">
        <v>87.85</v>
      </c>
      <c r="J20" s="9" t="n">
        <f aca="false">H20*I20</f>
        <v>175.7</v>
      </c>
      <c r="K20" s="6" t="s">
        <v>57</v>
      </c>
      <c r="L20" s="6" t="s">
        <v>52</v>
      </c>
      <c r="M20" s="6" t="s">
        <v>30</v>
      </c>
      <c r="N20" s="6" t="s">
        <v>31</v>
      </c>
      <c r="O20" s="6"/>
      <c r="P20" s="8" t="n">
        <f aca="false">Config!$B$1-B20</f>
        <v>395</v>
      </c>
      <c r="Q20" s="8" t="n">
        <f aca="false">IFERROR(INDEX('Failure Reference'!$C$4:$C$9,MATCH(O20,'Failure Reference'!$A$4:$A$9,0)),0)</f>
        <v>0</v>
      </c>
      <c r="R20" s="8" t="n">
        <f aca="false">IF(N20="Settled",0,Q20+P20*0.5+IFERROR(INDEX(Config!$B$4:$B$7,MATCH(D20,Config!$A$4:$A$7,0)),1)+IF(C20-Config!$B$1&lt;=1,5,0))</f>
        <v>0</v>
      </c>
      <c r="S20" s="10" t="str">
        <f aca="false">IF(R20=0,"Green",IF(R20&lt;10,"Amber","Red"))</f>
        <v>Green</v>
      </c>
      <c r="T20" s="6" t="str">
        <f aca="false">IF(N20="Settled","None",IF(C20-Config!$B$1&lt;=0,"Overdue",IF(C20-Config!$B$1&lt;=1,"Critical",IF(C20-Config!$B$1&lt;=3,"High","Low"))))</f>
        <v>None</v>
      </c>
      <c r="U20" s="8" t="str">
        <f aca="false">IF(R20=0,"",RANK(R20,$R$5:$R$104,0))</f>
        <v/>
      </c>
    </row>
    <row r="21" customFormat="false" ht="15" hidden="false" customHeight="true" outlineLevel="0" collapsed="false">
      <c r="A21" s="6" t="s">
        <v>88</v>
      </c>
      <c r="B21" s="7" t="n">
        <v>45705</v>
      </c>
      <c r="C21" s="7" t="n">
        <v>45706</v>
      </c>
      <c r="D21" s="6" t="s">
        <v>24</v>
      </c>
      <c r="E21" s="6" t="s">
        <v>89</v>
      </c>
      <c r="F21" s="6" t="s">
        <v>90</v>
      </c>
      <c r="G21" s="6" t="s">
        <v>27</v>
      </c>
      <c r="H21" s="8" t="n">
        <v>750</v>
      </c>
      <c r="I21" s="9" t="n">
        <v>1454.33</v>
      </c>
      <c r="J21" s="9" t="n">
        <f aca="false">H21*I21</f>
        <v>1090747.5</v>
      </c>
      <c r="K21" s="6" t="s">
        <v>40</v>
      </c>
      <c r="L21" s="6" t="s">
        <v>48</v>
      </c>
      <c r="M21" s="6" t="s">
        <v>30</v>
      </c>
      <c r="N21" s="6" t="s">
        <v>31</v>
      </c>
      <c r="O21" s="6"/>
      <c r="P21" s="8" t="n">
        <f aca="false">Config!$B$1-B21</f>
        <v>476</v>
      </c>
      <c r="Q21" s="8" t="n">
        <f aca="false">IFERROR(INDEX('Failure Reference'!$C$4:$C$9,MATCH(O21,'Failure Reference'!$A$4:$A$9,0)),0)</f>
        <v>0</v>
      </c>
      <c r="R21" s="8" t="n">
        <f aca="false">IF(N21="Settled",0,Q21+P21*0.5+IFERROR(INDEX(Config!$B$4:$B$7,MATCH(D21,Config!$A$4:$A$7,0)),1)+IF(C21-Config!$B$1&lt;=1,5,0))</f>
        <v>0</v>
      </c>
      <c r="S21" s="10" t="str">
        <f aca="false">IF(R21=0,"Green",IF(R21&lt;10,"Amber","Red"))</f>
        <v>Green</v>
      </c>
      <c r="T21" s="6" t="str">
        <f aca="false">IF(N21="Settled","None",IF(C21-Config!$B$1&lt;=0,"Overdue",IF(C21-Config!$B$1&lt;=1,"Critical",IF(C21-Config!$B$1&lt;=3,"High","Low"))))</f>
        <v>None</v>
      </c>
      <c r="U21" s="8" t="str">
        <f aca="false">IF(R21=0,"",RANK(R21,$R$5:$R$104,0))</f>
        <v/>
      </c>
    </row>
    <row r="22" customFormat="false" ht="15" hidden="false" customHeight="true" outlineLevel="0" collapsed="false">
      <c r="A22" s="6" t="s">
        <v>91</v>
      </c>
      <c r="B22" s="7" t="n">
        <v>45688</v>
      </c>
      <c r="C22" s="7" t="n">
        <v>45689</v>
      </c>
      <c r="D22" s="6" t="s">
        <v>24</v>
      </c>
      <c r="E22" s="6" t="s">
        <v>92</v>
      </c>
      <c r="F22" s="6" t="s">
        <v>93</v>
      </c>
      <c r="G22" s="6" t="s">
        <v>27</v>
      </c>
      <c r="H22" s="8" t="n">
        <v>750</v>
      </c>
      <c r="I22" s="9" t="n">
        <v>1344.98</v>
      </c>
      <c r="J22" s="9" t="n">
        <f aca="false">H22*I22</f>
        <v>1008735</v>
      </c>
      <c r="K22" s="6" t="s">
        <v>29</v>
      </c>
      <c r="L22" s="6" t="s">
        <v>28</v>
      </c>
      <c r="M22" s="6" t="s">
        <v>42</v>
      </c>
      <c r="N22" s="6" t="s">
        <v>43</v>
      </c>
      <c r="O22" s="6" t="s">
        <v>44</v>
      </c>
      <c r="P22" s="8" t="n">
        <f aca="false">Config!$B$1-B22</f>
        <v>493</v>
      </c>
      <c r="Q22" s="8" t="n">
        <f aca="false">IFERROR(INDEX('Failure Reference'!$C$4:$C$9,MATCH(O22,'Failure Reference'!$A$4:$A$9,0)),0)</f>
        <v>8</v>
      </c>
      <c r="R22" s="8" t="n">
        <f aca="false">IF(N22="Settled",0,Q22+P22*0.5+IFERROR(INDEX(Config!$B$4:$B$7,MATCH(D22,Config!$A$4:$A$7,0)),1)+IF(C22-Config!$B$1&lt;=1,5,0))</f>
        <v>260.5</v>
      </c>
      <c r="S22" s="10" t="str">
        <f aca="false">IF(R22=0,"Green",IF(R22&lt;10,"Amber","Red"))</f>
        <v>Red</v>
      </c>
      <c r="T22" s="6" t="str">
        <f aca="false">IF(N22="Settled","None",IF(C22-Config!$B$1&lt;=0,"Overdue",IF(C22-Config!$B$1&lt;=1,"Critical",IF(C22-Config!$B$1&lt;=3,"High","Low"))))</f>
        <v>Overdue</v>
      </c>
      <c r="U22" s="8" t="n">
        <f aca="false">IF(R22=0,"",RANK(R22,$R$5:$R$104,0))</f>
        <v>4</v>
      </c>
    </row>
    <row r="23" customFormat="false" ht="15" hidden="false" customHeight="true" outlineLevel="0" collapsed="false">
      <c r="A23" s="6" t="s">
        <v>94</v>
      </c>
      <c r="B23" s="7" t="n">
        <v>45816</v>
      </c>
      <c r="C23" s="7" t="n">
        <v>45817</v>
      </c>
      <c r="D23" s="6" t="s">
        <v>24</v>
      </c>
      <c r="E23" s="6" t="s">
        <v>89</v>
      </c>
      <c r="F23" s="6" t="s">
        <v>90</v>
      </c>
      <c r="G23" s="6" t="s">
        <v>27</v>
      </c>
      <c r="H23" s="8" t="n">
        <v>500</v>
      </c>
      <c r="I23" s="9" t="n">
        <v>1543.92</v>
      </c>
      <c r="J23" s="9" t="n">
        <f aca="false">H23*I23</f>
        <v>771960</v>
      </c>
      <c r="K23" s="6" t="s">
        <v>29</v>
      </c>
      <c r="L23" s="6" t="s">
        <v>57</v>
      </c>
      <c r="M23" s="6" t="s">
        <v>95</v>
      </c>
      <c r="N23" s="6" t="s">
        <v>71</v>
      </c>
      <c r="O23" s="6"/>
      <c r="P23" s="8" t="n">
        <f aca="false">Config!$B$1-B23</f>
        <v>365</v>
      </c>
      <c r="Q23" s="8" t="n">
        <f aca="false">IFERROR(INDEX('Failure Reference'!$C$4:$C$9,MATCH(O23,'Failure Reference'!$A$4:$A$9,0)),0)</f>
        <v>0</v>
      </c>
      <c r="R23" s="8" t="n">
        <f aca="false">IF(N23="Settled",0,Q23+P23*0.5+IFERROR(INDEX(Config!$B$4:$B$7,MATCH(D23,Config!$A$4:$A$7,0)),1)+IF(C23-Config!$B$1&lt;=1,5,0))</f>
        <v>188.5</v>
      </c>
      <c r="S23" s="10" t="str">
        <f aca="false">IF(R23=0,"Green",IF(R23&lt;10,"Amber","Red"))</f>
        <v>Red</v>
      </c>
      <c r="T23" s="6" t="str">
        <f aca="false">IF(N23="Settled","None",IF(C23-Config!$B$1&lt;=0,"Overdue",IF(C23-Config!$B$1&lt;=1,"Critical",IF(C23-Config!$B$1&lt;=3,"High","Low"))))</f>
        <v>Overdue</v>
      </c>
      <c r="U23" s="8" t="n">
        <f aca="false">IF(R23=0,"",RANK(R23,$R$5:$R$104,0))</f>
        <v>25</v>
      </c>
    </row>
    <row r="24" customFormat="false" ht="15" hidden="false" customHeight="true" outlineLevel="0" collapsed="false">
      <c r="A24" s="6" t="s">
        <v>96</v>
      </c>
      <c r="B24" s="7" t="n">
        <v>45724</v>
      </c>
      <c r="C24" s="7" t="n">
        <v>45725</v>
      </c>
      <c r="D24" s="6" t="s">
        <v>37</v>
      </c>
      <c r="E24" s="6" t="s">
        <v>60</v>
      </c>
      <c r="F24" s="6" t="s">
        <v>61</v>
      </c>
      <c r="G24" s="6" t="s">
        <v>27</v>
      </c>
      <c r="H24" s="8" t="n">
        <v>5000</v>
      </c>
      <c r="I24" s="9" t="n">
        <v>97.47</v>
      </c>
      <c r="J24" s="9" t="n">
        <f aca="false">H24*I24</f>
        <v>487350</v>
      </c>
      <c r="K24" s="6" t="s">
        <v>56</v>
      </c>
      <c r="L24" s="6" t="s">
        <v>62</v>
      </c>
      <c r="M24" s="6" t="s">
        <v>30</v>
      </c>
      <c r="N24" s="6" t="s">
        <v>31</v>
      </c>
      <c r="O24" s="6"/>
      <c r="P24" s="8" t="n">
        <f aca="false">Config!$B$1-B24</f>
        <v>457</v>
      </c>
      <c r="Q24" s="8" t="n">
        <f aca="false">IFERROR(INDEX('Failure Reference'!$C$4:$C$9,MATCH(O24,'Failure Reference'!$A$4:$A$9,0)),0)</f>
        <v>0</v>
      </c>
      <c r="R24" s="8" t="n">
        <f aca="false">IF(N24="Settled",0,Q24+P24*0.5+IFERROR(INDEX(Config!$B$4:$B$7,MATCH(D24,Config!$A$4:$A$7,0)),1)+IF(C24-Config!$B$1&lt;=1,5,0))</f>
        <v>0</v>
      </c>
      <c r="S24" s="10" t="str">
        <f aca="false">IF(R24=0,"Green",IF(R24&lt;10,"Amber","Red"))</f>
        <v>Green</v>
      </c>
      <c r="T24" s="6" t="str">
        <f aca="false">IF(N24="Settled","None",IF(C24-Config!$B$1&lt;=0,"Overdue",IF(C24-Config!$B$1&lt;=1,"Critical",IF(C24-Config!$B$1&lt;=3,"High","Low"))))</f>
        <v>None</v>
      </c>
      <c r="U24" s="8" t="str">
        <f aca="false">IF(R24=0,"",RANK(R24,$R$5:$R$104,0))</f>
        <v/>
      </c>
    </row>
    <row r="25" customFormat="false" ht="15" hidden="false" customHeight="true" outlineLevel="0" collapsed="false">
      <c r="A25" s="6" t="s">
        <v>97</v>
      </c>
      <c r="B25" s="7" t="n">
        <v>45829</v>
      </c>
      <c r="C25" s="7" t="n">
        <v>45830</v>
      </c>
      <c r="D25" s="6" t="s">
        <v>24</v>
      </c>
      <c r="E25" s="6" t="s">
        <v>98</v>
      </c>
      <c r="F25" s="6" t="s">
        <v>99</v>
      </c>
      <c r="G25" s="6" t="s">
        <v>27</v>
      </c>
      <c r="H25" s="8" t="n">
        <v>300</v>
      </c>
      <c r="I25" s="9" t="n">
        <v>7094.52</v>
      </c>
      <c r="J25" s="9" t="n">
        <f aca="false">H25*I25</f>
        <v>2128356</v>
      </c>
      <c r="K25" s="6" t="s">
        <v>52</v>
      </c>
      <c r="L25" s="6" t="s">
        <v>28</v>
      </c>
      <c r="M25" s="6" t="s">
        <v>30</v>
      </c>
      <c r="N25" s="6" t="s">
        <v>31</v>
      </c>
      <c r="O25" s="6"/>
      <c r="P25" s="8" t="n">
        <f aca="false">Config!$B$1-B25</f>
        <v>352</v>
      </c>
      <c r="Q25" s="8" t="n">
        <f aca="false">IFERROR(INDEX('Failure Reference'!$C$4:$C$9,MATCH(O25,'Failure Reference'!$A$4:$A$9,0)),0)</f>
        <v>0</v>
      </c>
      <c r="R25" s="8" t="n">
        <f aca="false">IF(N25="Settled",0,Q25+P25*0.5+IFERROR(INDEX(Config!$B$4:$B$7,MATCH(D25,Config!$A$4:$A$7,0)),1)+IF(C25-Config!$B$1&lt;=1,5,0))</f>
        <v>0</v>
      </c>
      <c r="S25" s="10" t="str">
        <f aca="false">IF(R25=0,"Green",IF(R25&lt;10,"Amber","Red"))</f>
        <v>Green</v>
      </c>
      <c r="T25" s="6" t="str">
        <f aca="false">IF(N25="Settled","None",IF(C25-Config!$B$1&lt;=0,"Overdue",IF(C25-Config!$B$1&lt;=1,"Critical",IF(C25-Config!$B$1&lt;=3,"High","Low"))))</f>
        <v>None</v>
      </c>
      <c r="U25" s="8" t="str">
        <f aca="false">IF(R25=0,"",RANK(R25,$R$5:$R$104,0))</f>
        <v/>
      </c>
    </row>
    <row r="26" customFormat="false" ht="15" hidden="false" customHeight="true" outlineLevel="0" collapsed="false">
      <c r="A26" s="6" t="s">
        <v>100</v>
      </c>
      <c r="B26" s="7" t="n">
        <v>45775</v>
      </c>
      <c r="C26" s="7" t="n">
        <v>45776</v>
      </c>
      <c r="D26" s="6" t="s">
        <v>67</v>
      </c>
      <c r="E26" s="6" t="s">
        <v>101</v>
      </c>
      <c r="F26" s="6" t="s">
        <v>69</v>
      </c>
      <c r="G26" s="6" t="s">
        <v>27</v>
      </c>
      <c r="H26" s="8" t="n">
        <v>200</v>
      </c>
      <c r="I26" s="9" t="n">
        <v>4.55</v>
      </c>
      <c r="J26" s="9" t="n">
        <f aca="false">H26*I26</f>
        <v>910</v>
      </c>
      <c r="K26" s="6" t="s">
        <v>57</v>
      </c>
      <c r="L26" s="6" t="s">
        <v>40</v>
      </c>
      <c r="M26" s="6" t="s">
        <v>30</v>
      </c>
      <c r="N26" s="6" t="s">
        <v>31</v>
      </c>
      <c r="O26" s="6"/>
      <c r="P26" s="8" t="n">
        <f aca="false">Config!$B$1-B26</f>
        <v>406</v>
      </c>
      <c r="Q26" s="8" t="n">
        <f aca="false">IFERROR(INDEX('Failure Reference'!$C$4:$C$9,MATCH(O26,'Failure Reference'!$A$4:$A$9,0)),0)</f>
        <v>0</v>
      </c>
      <c r="R26" s="8" t="n">
        <f aca="false">IF(N26="Settled",0,Q26+P26*0.5+IFERROR(INDEX(Config!$B$4:$B$7,MATCH(D26,Config!$A$4:$A$7,0)),1)+IF(C26-Config!$B$1&lt;=1,5,0))</f>
        <v>0</v>
      </c>
      <c r="S26" s="10" t="str">
        <f aca="false">IF(R26=0,"Green",IF(R26&lt;10,"Amber","Red"))</f>
        <v>Green</v>
      </c>
      <c r="T26" s="6" t="str">
        <f aca="false">IF(N26="Settled","None",IF(C26-Config!$B$1&lt;=0,"Overdue",IF(C26-Config!$B$1&lt;=1,"Critical",IF(C26-Config!$B$1&lt;=3,"High","Low"))))</f>
        <v>None</v>
      </c>
      <c r="U26" s="8" t="str">
        <f aca="false">IF(R26=0,"",RANK(R26,$R$5:$R$104,0))</f>
        <v/>
      </c>
    </row>
    <row r="27" customFormat="false" ht="15" hidden="false" customHeight="true" outlineLevel="0" collapsed="false">
      <c r="A27" s="6" t="s">
        <v>102</v>
      </c>
      <c r="B27" s="7" t="n">
        <v>45787</v>
      </c>
      <c r="C27" s="7" t="n">
        <v>45788</v>
      </c>
      <c r="D27" s="6" t="s">
        <v>24</v>
      </c>
      <c r="E27" s="6" t="s">
        <v>80</v>
      </c>
      <c r="F27" s="6" t="s">
        <v>81</v>
      </c>
      <c r="G27" s="6" t="s">
        <v>27</v>
      </c>
      <c r="H27" s="8" t="n">
        <v>200</v>
      </c>
      <c r="I27" s="9" t="n">
        <v>1168.53</v>
      </c>
      <c r="J27" s="9" t="n">
        <f aca="false">H27*I27</f>
        <v>233706</v>
      </c>
      <c r="K27" s="6" t="s">
        <v>52</v>
      </c>
      <c r="L27" s="6" t="s">
        <v>35</v>
      </c>
      <c r="M27" s="6" t="s">
        <v>30</v>
      </c>
      <c r="N27" s="6" t="s">
        <v>31</v>
      </c>
      <c r="O27" s="6"/>
      <c r="P27" s="8" t="n">
        <f aca="false">Config!$B$1-B27</f>
        <v>394</v>
      </c>
      <c r="Q27" s="8" t="n">
        <f aca="false">IFERROR(INDEX('Failure Reference'!$C$4:$C$9,MATCH(O27,'Failure Reference'!$A$4:$A$9,0)),0)</f>
        <v>0</v>
      </c>
      <c r="R27" s="8" t="n">
        <f aca="false">IF(N27="Settled",0,Q27+P27*0.5+IFERROR(INDEX(Config!$B$4:$B$7,MATCH(D27,Config!$A$4:$A$7,0)),1)+IF(C27-Config!$B$1&lt;=1,5,0))</f>
        <v>0</v>
      </c>
      <c r="S27" s="10" t="str">
        <f aca="false">IF(R27=0,"Green",IF(R27&lt;10,"Amber","Red"))</f>
        <v>Green</v>
      </c>
      <c r="T27" s="6" t="str">
        <f aca="false">IF(N27="Settled","None",IF(C27-Config!$B$1&lt;=0,"Overdue",IF(C27-Config!$B$1&lt;=1,"Critical",IF(C27-Config!$B$1&lt;=3,"High","Low"))))</f>
        <v>None</v>
      </c>
      <c r="U27" s="8" t="str">
        <f aca="false">IF(R27=0,"",RANK(R27,$R$5:$R$104,0))</f>
        <v/>
      </c>
    </row>
    <row r="28" customFormat="false" ht="15" hidden="false" customHeight="true" outlineLevel="0" collapsed="false">
      <c r="A28" s="6" t="s">
        <v>103</v>
      </c>
      <c r="B28" s="7" t="n">
        <v>45752</v>
      </c>
      <c r="C28" s="7" t="n">
        <v>45753</v>
      </c>
      <c r="D28" s="6" t="s">
        <v>24</v>
      </c>
      <c r="E28" s="6" t="s">
        <v>80</v>
      </c>
      <c r="F28" s="6" t="s">
        <v>81</v>
      </c>
      <c r="G28" s="6" t="s">
        <v>27</v>
      </c>
      <c r="H28" s="8" t="n">
        <v>200</v>
      </c>
      <c r="I28" s="9" t="n">
        <v>1113.08</v>
      </c>
      <c r="J28" s="9" t="n">
        <f aca="false">H28*I28</f>
        <v>222616</v>
      </c>
      <c r="K28" s="6" t="s">
        <v>57</v>
      </c>
      <c r="L28" s="6" t="s">
        <v>35</v>
      </c>
      <c r="M28" s="6" t="s">
        <v>42</v>
      </c>
      <c r="N28" s="6" t="s">
        <v>43</v>
      </c>
      <c r="O28" s="6" t="s">
        <v>44</v>
      </c>
      <c r="P28" s="8" t="n">
        <f aca="false">Config!$B$1-B28</f>
        <v>429</v>
      </c>
      <c r="Q28" s="8" t="n">
        <f aca="false">IFERROR(INDEX('Failure Reference'!$C$4:$C$9,MATCH(O28,'Failure Reference'!$A$4:$A$9,0)),0)</f>
        <v>8</v>
      </c>
      <c r="R28" s="8" t="n">
        <f aca="false">IF(N28="Settled",0,Q28+P28*0.5+IFERROR(INDEX(Config!$B$4:$B$7,MATCH(D28,Config!$A$4:$A$7,0)),1)+IF(C28-Config!$B$1&lt;=1,5,0))</f>
        <v>228.5</v>
      </c>
      <c r="S28" s="10" t="str">
        <f aca="false">IF(R28=0,"Green",IF(R28&lt;10,"Amber","Red"))</f>
        <v>Red</v>
      </c>
      <c r="T28" s="6" t="str">
        <f aca="false">IF(N28="Settled","None",IF(C28-Config!$B$1&lt;=0,"Overdue",IF(C28-Config!$B$1&lt;=1,"Critical",IF(C28-Config!$B$1&lt;=3,"High","Low"))))</f>
        <v>Overdue</v>
      </c>
      <c r="U28" s="8" t="n">
        <f aca="false">IF(R28=0,"",RANK(R28,$R$5:$R$104,0))</f>
        <v>16</v>
      </c>
    </row>
    <row r="29" customFormat="false" ht="15" hidden="false" customHeight="true" outlineLevel="0" collapsed="false">
      <c r="A29" s="6" t="s">
        <v>104</v>
      </c>
      <c r="B29" s="7" t="n">
        <v>45814</v>
      </c>
      <c r="C29" s="7" t="n">
        <v>45815</v>
      </c>
      <c r="D29" s="6" t="s">
        <v>86</v>
      </c>
      <c r="E29" s="6" t="s">
        <v>87</v>
      </c>
      <c r="F29" s="6" t="s">
        <v>69</v>
      </c>
      <c r="G29" s="6" t="s">
        <v>27</v>
      </c>
      <c r="H29" s="8" t="n">
        <v>1</v>
      </c>
      <c r="I29" s="9" t="n">
        <v>91.16</v>
      </c>
      <c r="J29" s="9" t="n">
        <f aca="false">H29*I29</f>
        <v>91.16</v>
      </c>
      <c r="K29" s="6" t="s">
        <v>57</v>
      </c>
      <c r="L29" s="6" t="s">
        <v>35</v>
      </c>
      <c r="M29" s="6" t="s">
        <v>42</v>
      </c>
      <c r="N29" s="6" t="s">
        <v>71</v>
      </c>
      <c r="O29" s="6"/>
      <c r="P29" s="8" t="n">
        <f aca="false">Config!$B$1-B29</f>
        <v>367</v>
      </c>
      <c r="Q29" s="8" t="n">
        <f aca="false">IFERROR(INDEX('Failure Reference'!$C$4:$C$9,MATCH(O29,'Failure Reference'!$A$4:$A$9,0)),0)</f>
        <v>0</v>
      </c>
      <c r="R29" s="8" t="n">
        <f aca="false">IF(N29="Settled",0,Q29+P29*0.5+IFERROR(INDEX(Config!$B$4:$B$7,MATCH(D29,Config!$A$4:$A$7,0)),1)+IF(C29-Config!$B$1&lt;=1,5,0))</f>
        <v>190.5</v>
      </c>
      <c r="S29" s="10" t="str">
        <f aca="false">IF(R29=0,"Green",IF(R29&lt;10,"Amber","Red"))</f>
        <v>Red</v>
      </c>
      <c r="T29" s="6" t="str">
        <f aca="false">IF(N29="Settled","None",IF(C29-Config!$B$1&lt;=0,"Overdue",IF(C29-Config!$B$1&lt;=1,"Critical",IF(C29-Config!$B$1&lt;=3,"High","Low"))))</f>
        <v>Overdue</v>
      </c>
      <c r="U29" s="8" t="n">
        <f aca="false">IF(R29=0,"",RANK(R29,$R$5:$R$104,0))</f>
        <v>24</v>
      </c>
    </row>
    <row r="30" customFormat="false" ht="15" hidden="false" customHeight="true" outlineLevel="0" collapsed="false">
      <c r="A30" s="6" t="s">
        <v>105</v>
      </c>
      <c r="B30" s="7" t="n">
        <v>45684</v>
      </c>
      <c r="C30" s="7" t="n">
        <v>45685</v>
      </c>
      <c r="D30" s="6" t="s">
        <v>24</v>
      </c>
      <c r="E30" s="6" t="s">
        <v>92</v>
      </c>
      <c r="F30" s="6" t="s">
        <v>93</v>
      </c>
      <c r="G30" s="6" t="s">
        <v>27</v>
      </c>
      <c r="H30" s="8" t="n">
        <v>200</v>
      </c>
      <c r="I30" s="9" t="n">
        <v>1347.5</v>
      </c>
      <c r="J30" s="9" t="n">
        <f aca="false">H30*I30</f>
        <v>269500</v>
      </c>
      <c r="K30" s="6" t="s">
        <v>52</v>
      </c>
      <c r="L30" s="6" t="s">
        <v>29</v>
      </c>
      <c r="M30" s="6" t="s">
        <v>30</v>
      </c>
      <c r="N30" s="6" t="s">
        <v>31</v>
      </c>
      <c r="O30" s="6"/>
      <c r="P30" s="8" t="n">
        <f aca="false">Config!$B$1-B30</f>
        <v>497</v>
      </c>
      <c r="Q30" s="8" t="n">
        <f aca="false">IFERROR(INDEX('Failure Reference'!$C$4:$C$9,MATCH(O30,'Failure Reference'!$A$4:$A$9,0)),0)</f>
        <v>0</v>
      </c>
      <c r="R30" s="8" t="n">
        <f aca="false">IF(N30="Settled",0,Q30+P30*0.5+IFERROR(INDEX(Config!$B$4:$B$7,MATCH(D30,Config!$A$4:$A$7,0)),1)+IF(C30-Config!$B$1&lt;=1,5,0))</f>
        <v>0</v>
      </c>
      <c r="S30" s="10" t="str">
        <f aca="false">IF(R30=0,"Green",IF(R30&lt;10,"Amber","Red"))</f>
        <v>Green</v>
      </c>
      <c r="T30" s="6" t="str">
        <f aca="false">IF(N30="Settled","None",IF(C30-Config!$B$1&lt;=0,"Overdue",IF(C30-Config!$B$1&lt;=1,"Critical",IF(C30-Config!$B$1&lt;=3,"High","Low"))))</f>
        <v>None</v>
      </c>
      <c r="U30" s="8" t="str">
        <f aca="false">IF(R30=0,"",RANK(R30,$R$5:$R$104,0))</f>
        <v/>
      </c>
    </row>
    <row r="31" customFormat="false" ht="15" hidden="false" customHeight="true" outlineLevel="0" collapsed="false">
      <c r="A31" s="6" t="s">
        <v>106</v>
      </c>
      <c r="B31" s="7" t="n">
        <v>45697</v>
      </c>
      <c r="C31" s="7" t="n">
        <v>45698</v>
      </c>
      <c r="D31" s="6" t="s">
        <v>24</v>
      </c>
      <c r="E31" s="6" t="s">
        <v>80</v>
      </c>
      <c r="F31" s="6" t="s">
        <v>81</v>
      </c>
      <c r="G31" s="6" t="s">
        <v>27</v>
      </c>
      <c r="H31" s="8" t="n">
        <v>300</v>
      </c>
      <c r="I31" s="9" t="n">
        <v>1131.74</v>
      </c>
      <c r="J31" s="9" t="n">
        <f aca="false">H31*I31</f>
        <v>339522</v>
      </c>
      <c r="K31" s="6" t="s">
        <v>41</v>
      </c>
      <c r="L31" s="6" t="s">
        <v>40</v>
      </c>
      <c r="M31" s="6" t="s">
        <v>42</v>
      </c>
      <c r="N31" s="6" t="s">
        <v>71</v>
      </c>
      <c r="O31" s="6"/>
      <c r="P31" s="8" t="n">
        <f aca="false">Config!$B$1-B31</f>
        <v>484</v>
      </c>
      <c r="Q31" s="8" t="n">
        <f aca="false">IFERROR(INDEX('Failure Reference'!$C$4:$C$9,MATCH(O31,'Failure Reference'!$A$4:$A$9,0)),0)</f>
        <v>0</v>
      </c>
      <c r="R31" s="8" t="n">
        <f aca="false">IF(N31="Settled",0,Q31+P31*0.5+IFERROR(INDEX(Config!$B$4:$B$7,MATCH(D31,Config!$A$4:$A$7,0)),1)+IF(C31-Config!$B$1&lt;=1,5,0))</f>
        <v>248</v>
      </c>
      <c r="S31" s="10" t="str">
        <f aca="false">IF(R31=0,"Green",IF(R31&lt;10,"Amber","Red"))</f>
        <v>Red</v>
      </c>
      <c r="T31" s="6" t="str">
        <f aca="false">IF(N31="Settled","None",IF(C31-Config!$B$1&lt;=0,"Overdue",IF(C31-Config!$B$1&lt;=1,"Critical",IF(C31-Config!$B$1&lt;=3,"High","Low"))))</f>
        <v>Overdue</v>
      </c>
      <c r="U31" s="8" t="n">
        <f aca="false">IF(R31=0,"",RANK(R31,$R$5:$R$104,0))</f>
        <v>10</v>
      </c>
    </row>
    <row r="32" customFormat="false" ht="15" hidden="false" customHeight="true" outlineLevel="0" collapsed="false">
      <c r="A32" s="6" t="s">
        <v>107</v>
      </c>
      <c r="B32" s="7" t="n">
        <v>45820</v>
      </c>
      <c r="C32" s="7" t="n">
        <v>45821</v>
      </c>
      <c r="D32" s="6" t="s">
        <v>24</v>
      </c>
      <c r="E32" s="6" t="s">
        <v>108</v>
      </c>
      <c r="F32" s="6" t="s">
        <v>109</v>
      </c>
      <c r="G32" s="6" t="s">
        <v>27</v>
      </c>
      <c r="H32" s="8" t="n">
        <v>300</v>
      </c>
      <c r="I32" s="9" t="n">
        <v>475.26</v>
      </c>
      <c r="J32" s="9" t="n">
        <f aca="false">H32*I32</f>
        <v>142578</v>
      </c>
      <c r="K32" s="6" t="s">
        <v>35</v>
      </c>
      <c r="L32" s="6" t="s">
        <v>28</v>
      </c>
      <c r="M32" s="6" t="s">
        <v>30</v>
      </c>
      <c r="N32" s="6" t="s">
        <v>31</v>
      </c>
      <c r="O32" s="6"/>
      <c r="P32" s="8" t="n">
        <f aca="false">Config!$B$1-B32</f>
        <v>361</v>
      </c>
      <c r="Q32" s="8" t="n">
        <f aca="false">IFERROR(INDEX('Failure Reference'!$C$4:$C$9,MATCH(O32,'Failure Reference'!$A$4:$A$9,0)),0)</f>
        <v>0</v>
      </c>
      <c r="R32" s="8" t="n">
        <f aca="false">IF(N32="Settled",0,Q32+P32*0.5+IFERROR(INDEX(Config!$B$4:$B$7,MATCH(D32,Config!$A$4:$A$7,0)),1)+IF(C32-Config!$B$1&lt;=1,5,0))</f>
        <v>0</v>
      </c>
      <c r="S32" s="10" t="str">
        <f aca="false">IF(R32=0,"Green",IF(R32&lt;10,"Amber","Red"))</f>
        <v>Green</v>
      </c>
      <c r="T32" s="6" t="str">
        <f aca="false">IF(N32="Settled","None",IF(C32-Config!$B$1&lt;=0,"Overdue",IF(C32-Config!$B$1&lt;=1,"Critical",IF(C32-Config!$B$1&lt;=3,"High","Low"))))</f>
        <v>None</v>
      </c>
      <c r="U32" s="8" t="str">
        <f aca="false">IF(R32=0,"",RANK(R32,$R$5:$R$104,0))</f>
        <v/>
      </c>
    </row>
    <row r="33" customFormat="false" ht="15" hidden="false" customHeight="true" outlineLevel="0" collapsed="false">
      <c r="A33" s="6" t="s">
        <v>110</v>
      </c>
      <c r="B33" s="7" t="n">
        <v>45681</v>
      </c>
      <c r="C33" s="7" t="n">
        <v>45682</v>
      </c>
      <c r="D33" s="6" t="s">
        <v>67</v>
      </c>
      <c r="E33" s="6" t="s">
        <v>76</v>
      </c>
      <c r="F33" s="6" t="s">
        <v>69</v>
      </c>
      <c r="G33" s="6" t="s">
        <v>77</v>
      </c>
      <c r="H33" s="8" t="n">
        <v>50</v>
      </c>
      <c r="I33" s="9" t="n">
        <v>2.67</v>
      </c>
      <c r="J33" s="9" t="n">
        <f aca="false">H33*I33</f>
        <v>133.5</v>
      </c>
      <c r="K33" s="6" t="s">
        <v>62</v>
      </c>
      <c r="L33" s="6" t="s">
        <v>41</v>
      </c>
      <c r="M33" s="6" t="s">
        <v>70</v>
      </c>
      <c r="N33" s="6" t="s">
        <v>71</v>
      </c>
      <c r="O33" s="6"/>
      <c r="P33" s="8" t="n">
        <f aca="false">Config!$B$1-B33</f>
        <v>500</v>
      </c>
      <c r="Q33" s="8" t="n">
        <f aca="false">IFERROR(INDEX('Failure Reference'!$C$4:$C$9,MATCH(O33,'Failure Reference'!$A$4:$A$9,0)),0)</f>
        <v>0</v>
      </c>
      <c r="R33" s="8" t="n">
        <f aca="false">IF(N33="Settled",0,Q33+P33*0.5+IFERROR(INDEX(Config!$B$4:$B$7,MATCH(D33,Config!$A$4:$A$7,0)),1)+IF(C33-Config!$B$1&lt;=1,5,0))</f>
        <v>257.5</v>
      </c>
      <c r="S33" s="10" t="str">
        <f aca="false">IF(R33=0,"Green",IF(R33&lt;10,"Amber","Red"))</f>
        <v>Red</v>
      </c>
      <c r="T33" s="6" t="str">
        <f aca="false">IF(N33="Settled","None",IF(C33-Config!$B$1&lt;=0,"Overdue",IF(C33-Config!$B$1&lt;=1,"Critical",IF(C33-Config!$B$1&lt;=3,"High","Low"))))</f>
        <v>Overdue</v>
      </c>
      <c r="U33" s="8" t="n">
        <f aca="false">IF(R33=0,"",RANK(R33,$R$5:$R$104,0))</f>
        <v>6</v>
      </c>
    </row>
    <row r="34" customFormat="false" ht="15" hidden="false" customHeight="true" outlineLevel="0" collapsed="false">
      <c r="A34" s="6" t="s">
        <v>111</v>
      </c>
      <c r="B34" s="7" t="n">
        <v>45771</v>
      </c>
      <c r="C34" s="7" t="n">
        <v>45772</v>
      </c>
      <c r="D34" s="6" t="s">
        <v>37</v>
      </c>
      <c r="E34" s="6" t="s">
        <v>112</v>
      </c>
      <c r="F34" s="6" t="s">
        <v>113</v>
      </c>
      <c r="G34" s="6" t="s">
        <v>27</v>
      </c>
      <c r="H34" s="8" t="n">
        <v>10000</v>
      </c>
      <c r="I34" s="9" t="n">
        <v>99.04</v>
      </c>
      <c r="J34" s="9" t="n">
        <f aca="false">H34*I34</f>
        <v>990400</v>
      </c>
      <c r="K34" s="6" t="s">
        <v>52</v>
      </c>
      <c r="L34" s="6" t="s">
        <v>62</v>
      </c>
      <c r="M34" s="6" t="s">
        <v>30</v>
      </c>
      <c r="N34" s="6" t="s">
        <v>31</v>
      </c>
      <c r="O34" s="6"/>
      <c r="P34" s="8" t="n">
        <f aca="false">Config!$B$1-B34</f>
        <v>410</v>
      </c>
      <c r="Q34" s="8" t="n">
        <f aca="false">IFERROR(INDEX('Failure Reference'!$C$4:$C$9,MATCH(O34,'Failure Reference'!$A$4:$A$9,0)),0)</f>
        <v>0</v>
      </c>
      <c r="R34" s="8" t="n">
        <f aca="false">IF(N34="Settled",0,Q34+P34*0.5+IFERROR(INDEX(Config!$B$4:$B$7,MATCH(D34,Config!$A$4:$A$7,0)),1)+IF(C34-Config!$B$1&lt;=1,5,0))</f>
        <v>0</v>
      </c>
      <c r="S34" s="10" t="str">
        <f aca="false">IF(R34=0,"Green",IF(R34&lt;10,"Amber","Red"))</f>
        <v>Green</v>
      </c>
      <c r="T34" s="6" t="str">
        <f aca="false">IF(N34="Settled","None",IF(C34-Config!$B$1&lt;=0,"Overdue",IF(C34-Config!$B$1&lt;=1,"Critical",IF(C34-Config!$B$1&lt;=3,"High","Low"))))</f>
        <v>None</v>
      </c>
      <c r="U34" s="8" t="str">
        <f aca="false">IF(R34=0,"",RANK(R34,$R$5:$R$104,0))</f>
        <v/>
      </c>
    </row>
    <row r="35" customFormat="false" ht="15" hidden="false" customHeight="true" outlineLevel="0" collapsed="false">
      <c r="A35" s="6" t="s">
        <v>114</v>
      </c>
      <c r="B35" s="7" t="n">
        <v>45834</v>
      </c>
      <c r="C35" s="7" t="n">
        <v>45835</v>
      </c>
      <c r="D35" s="6" t="s">
        <v>24</v>
      </c>
      <c r="E35" s="6" t="s">
        <v>92</v>
      </c>
      <c r="F35" s="6" t="s">
        <v>93</v>
      </c>
      <c r="G35" s="6" t="s">
        <v>27</v>
      </c>
      <c r="H35" s="8" t="n">
        <v>200</v>
      </c>
      <c r="I35" s="9" t="n">
        <v>1386.29</v>
      </c>
      <c r="J35" s="9" t="n">
        <f aca="false">H35*I35</f>
        <v>277258</v>
      </c>
      <c r="K35" s="6" t="s">
        <v>41</v>
      </c>
      <c r="L35" s="6" t="s">
        <v>29</v>
      </c>
      <c r="M35" s="6" t="s">
        <v>30</v>
      </c>
      <c r="N35" s="6" t="s">
        <v>31</v>
      </c>
      <c r="O35" s="6"/>
      <c r="P35" s="8" t="n">
        <f aca="false">Config!$B$1-B35</f>
        <v>347</v>
      </c>
      <c r="Q35" s="8" t="n">
        <f aca="false">IFERROR(INDEX('Failure Reference'!$C$4:$C$9,MATCH(O35,'Failure Reference'!$A$4:$A$9,0)),0)</f>
        <v>0</v>
      </c>
      <c r="R35" s="8" t="n">
        <f aca="false">IF(N35="Settled",0,Q35+P35*0.5+IFERROR(INDEX(Config!$B$4:$B$7,MATCH(D35,Config!$A$4:$A$7,0)),1)+IF(C35-Config!$B$1&lt;=1,5,0))</f>
        <v>0</v>
      </c>
      <c r="S35" s="10" t="str">
        <f aca="false">IF(R35=0,"Green",IF(R35&lt;10,"Amber","Red"))</f>
        <v>Green</v>
      </c>
      <c r="T35" s="6" t="str">
        <f aca="false">IF(N35="Settled","None",IF(C35-Config!$B$1&lt;=0,"Overdue",IF(C35-Config!$B$1&lt;=1,"Critical",IF(C35-Config!$B$1&lt;=3,"High","Low"))))</f>
        <v>None</v>
      </c>
      <c r="U35" s="8" t="str">
        <f aca="false">IF(R35=0,"",RANK(R35,$R$5:$R$104,0))</f>
        <v/>
      </c>
    </row>
    <row r="36" customFormat="false" ht="15" hidden="false" customHeight="true" outlineLevel="0" collapsed="false">
      <c r="A36" s="6" t="s">
        <v>115</v>
      </c>
      <c r="B36" s="7" t="n">
        <v>45695</v>
      </c>
      <c r="C36" s="7" t="n">
        <v>45696</v>
      </c>
      <c r="D36" s="6" t="s">
        <v>24</v>
      </c>
      <c r="E36" s="6" t="s">
        <v>116</v>
      </c>
      <c r="F36" s="6" t="s">
        <v>117</v>
      </c>
      <c r="G36" s="6" t="s">
        <v>27</v>
      </c>
      <c r="H36" s="8" t="n">
        <v>200</v>
      </c>
      <c r="I36" s="9" t="n">
        <v>3101.09</v>
      </c>
      <c r="J36" s="9" t="n">
        <f aca="false">H36*I36</f>
        <v>620218</v>
      </c>
      <c r="K36" s="6" t="s">
        <v>41</v>
      </c>
      <c r="L36" s="6" t="s">
        <v>28</v>
      </c>
      <c r="M36" s="6" t="s">
        <v>30</v>
      </c>
      <c r="N36" s="6" t="s">
        <v>31</v>
      </c>
      <c r="O36" s="6"/>
      <c r="P36" s="8" t="n">
        <f aca="false">Config!$B$1-B36</f>
        <v>486</v>
      </c>
      <c r="Q36" s="8" t="n">
        <f aca="false">IFERROR(INDEX('Failure Reference'!$C$4:$C$9,MATCH(O36,'Failure Reference'!$A$4:$A$9,0)),0)</f>
        <v>0</v>
      </c>
      <c r="R36" s="8" t="n">
        <f aca="false">IF(N36="Settled",0,Q36+P36*0.5+IFERROR(INDEX(Config!$B$4:$B$7,MATCH(D36,Config!$A$4:$A$7,0)),1)+IF(C36-Config!$B$1&lt;=1,5,0))</f>
        <v>0</v>
      </c>
      <c r="S36" s="10" t="str">
        <f aca="false">IF(R36=0,"Green",IF(R36&lt;10,"Amber","Red"))</f>
        <v>Green</v>
      </c>
      <c r="T36" s="6" t="str">
        <f aca="false">IF(N36="Settled","None",IF(C36-Config!$B$1&lt;=0,"Overdue",IF(C36-Config!$B$1&lt;=1,"Critical",IF(C36-Config!$B$1&lt;=3,"High","Low"))))</f>
        <v>None</v>
      </c>
      <c r="U36" s="8" t="str">
        <f aca="false">IF(R36=0,"",RANK(R36,$R$5:$R$104,0))</f>
        <v/>
      </c>
    </row>
    <row r="37" customFormat="false" ht="15" hidden="false" customHeight="true" outlineLevel="0" collapsed="false">
      <c r="A37" s="6" t="s">
        <v>118</v>
      </c>
      <c r="B37" s="7" t="n">
        <v>45749</v>
      </c>
      <c r="C37" s="7" t="n">
        <v>45750</v>
      </c>
      <c r="D37" s="6" t="s">
        <v>86</v>
      </c>
      <c r="E37" s="6" t="s">
        <v>119</v>
      </c>
      <c r="F37" s="6" t="s">
        <v>69</v>
      </c>
      <c r="G37" s="6" t="s">
        <v>27</v>
      </c>
      <c r="H37" s="8" t="n">
        <v>50</v>
      </c>
      <c r="I37" s="9" t="n">
        <v>47475.64</v>
      </c>
      <c r="J37" s="9" t="n">
        <f aca="false">H37*I37</f>
        <v>2373782</v>
      </c>
      <c r="K37" s="6" t="s">
        <v>52</v>
      </c>
      <c r="L37" s="6" t="s">
        <v>56</v>
      </c>
      <c r="M37" s="6" t="s">
        <v>30</v>
      </c>
      <c r="N37" s="6" t="s">
        <v>31</v>
      </c>
      <c r="O37" s="6"/>
      <c r="P37" s="8" t="n">
        <f aca="false">Config!$B$1-B37</f>
        <v>432</v>
      </c>
      <c r="Q37" s="8" t="n">
        <f aca="false">IFERROR(INDEX('Failure Reference'!$C$4:$C$9,MATCH(O37,'Failure Reference'!$A$4:$A$9,0)),0)</f>
        <v>0</v>
      </c>
      <c r="R37" s="8" t="n">
        <f aca="false">IF(N37="Settled",0,Q37+P37*0.5+IFERROR(INDEX(Config!$B$4:$B$7,MATCH(D37,Config!$A$4:$A$7,0)),1)+IF(C37-Config!$B$1&lt;=1,5,0))</f>
        <v>0</v>
      </c>
      <c r="S37" s="10" t="str">
        <f aca="false">IF(R37=0,"Green",IF(R37&lt;10,"Amber","Red"))</f>
        <v>Green</v>
      </c>
      <c r="T37" s="6" t="str">
        <f aca="false">IF(N37="Settled","None",IF(C37-Config!$B$1&lt;=0,"Overdue",IF(C37-Config!$B$1&lt;=1,"Critical",IF(C37-Config!$B$1&lt;=3,"High","Low"))))</f>
        <v>None</v>
      </c>
      <c r="U37" s="8" t="str">
        <f aca="false">IF(R37=0,"",RANK(R37,$R$5:$R$104,0))</f>
        <v/>
      </c>
    </row>
    <row r="38" customFormat="false" ht="15" hidden="false" customHeight="true" outlineLevel="0" collapsed="false">
      <c r="A38" s="6" t="s">
        <v>120</v>
      </c>
      <c r="B38" s="7" t="n">
        <v>45801</v>
      </c>
      <c r="C38" s="7" t="n">
        <v>45802</v>
      </c>
      <c r="D38" s="6" t="s">
        <v>86</v>
      </c>
      <c r="E38" s="6" t="s">
        <v>121</v>
      </c>
      <c r="F38" s="6" t="s">
        <v>69</v>
      </c>
      <c r="G38" s="6" t="s">
        <v>27</v>
      </c>
      <c r="H38" s="8" t="n">
        <v>20</v>
      </c>
      <c r="I38" s="9" t="n">
        <v>84.75</v>
      </c>
      <c r="J38" s="9" t="n">
        <f aca="false">H38*I38</f>
        <v>1695</v>
      </c>
      <c r="K38" s="6" t="s">
        <v>40</v>
      </c>
      <c r="L38" s="6" t="s">
        <v>62</v>
      </c>
      <c r="M38" s="6" t="s">
        <v>30</v>
      </c>
      <c r="N38" s="6" t="s">
        <v>31</v>
      </c>
      <c r="O38" s="6"/>
      <c r="P38" s="8" t="n">
        <f aca="false">Config!$B$1-B38</f>
        <v>380</v>
      </c>
      <c r="Q38" s="8" t="n">
        <f aca="false">IFERROR(INDEX('Failure Reference'!$C$4:$C$9,MATCH(O38,'Failure Reference'!$A$4:$A$9,0)),0)</f>
        <v>0</v>
      </c>
      <c r="R38" s="8" t="n">
        <f aca="false">IF(N38="Settled",0,Q38+P38*0.5+IFERROR(INDEX(Config!$B$4:$B$7,MATCH(D38,Config!$A$4:$A$7,0)),1)+IF(C38-Config!$B$1&lt;=1,5,0))</f>
        <v>0</v>
      </c>
      <c r="S38" s="10" t="str">
        <f aca="false">IF(R38=0,"Green",IF(R38&lt;10,"Amber","Red"))</f>
        <v>Green</v>
      </c>
      <c r="T38" s="6" t="str">
        <f aca="false">IF(N38="Settled","None",IF(C38-Config!$B$1&lt;=0,"Overdue",IF(C38-Config!$B$1&lt;=1,"Critical",IF(C38-Config!$B$1&lt;=3,"High","Low"))))</f>
        <v>None</v>
      </c>
      <c r="U38" s="8" t="str">
        <f aca="false">IF(R38=0,"",RANK(R38,$R$5:$R$104,0))</f>
        <v/>
      </c>
    </row>
    <row r="39" customFormat="false" ht="15" hidden="false" customHeight="true" outlineLevel="0" collapsed="false">
      <c r="A39" s="6" t="s">
        <v>122</v>
      </c>
      <c r="B39" s="7" t="n">
        <v>45703</v>
      </c>
      <c r="C39" s="7" t="n">
        <v>45704</v>
      </c>
      <c r="D39" s="6" t="s">
        <v>24</v>
      </c>
      <c r="E39" s="6" t="s">
        <v>92</v>
      </c>
      <c r="F39" s="6" t="s">
        <v>93</v>
      </c>
      <c r="G39" s="6" t="s">
        <v>27</v>
      </c>
      <c r="H39" s="8" t="n">
        <v>500</v>
      </c>
      <c r="I39" s="9" t="n">
        <v>1314.42</v>
      </c>
      <c r="J39" s="9" t="n">
        <f aca="false">H39*I39</f>
        <v>657210</v>
      </c>
      <c r="K39" s="6" t="s">
        <v>41</v>
      </c>
      <c r="L39" s="6" t="s">
        <v>48</v>
      </c>
      <c r="M39" s="6" t="s">
        <v>30</v>
      </c>
      <c r="N39" s="6" t="s">
        <v>31</v>
      </c>
      <c r="O39" s="6"/>
      <c r="P39" s="8" t="n">
        <f aca="false">Config!$B$1-B39</f>
        <v>478</v>
      </c>
      <c r="Q39" s="8" t="n">
        <f aca="false">IFERROR(INDEX('Failure Reference'!$C$4:$C$9,MATCH(O39,'Failure Reference'!$A$4:$A$9,0)),0)</f>
        <v>0</v>
      </c>
      <c r="R39" s="8" t="n">
        <f aca="false">IF(N39="Settled",0,Q39+P39*0.5+IFERROR(INDEX(Config!$B$4:$B$7,MATCH(D39,Config!$A$4:$A$7,0)),1)+IF(C39-Config!$B$1&lt;=1,5,0))</f>
        <v>0</v>
      </c>
      <c r="S39" s="10" t="str">
        <f aca="false">IF(R39=0,"Green",IF(R39&lt;10,"Amber","Red"))</f>
        <v>Green</v>
      </c>
      <c r="T39" s="6" t="str">
        <f aca="false">IF(N39="Settled","None",IF(C39-Config!$B$1&lt;=0,"Overdue",IF(C39-Config!$B$1&lt;=1,"Critical",IF(C39-Config!$B$1&lt;=3,"High","Low"))))</f>
        <v>None</v>
      </c>
      <c r="U39" s="8" t="str">
        <f aca="false">IF(R39=0,"",RANK(R39,$R$5:$R$104,0))</f>
        <v/>
      </c>
    </row>
    <row r="40" customFormat="false" ht="15" hidden="false" customHeight="true" outlineLevel="0" collapsed="false">
      <c r="A40" s="6" t="s">
        <v>123</v>
      </c>
      <c r="B40" s="7" t="n">
        <v>45829</v>
      </c>
      <c r="C40" s="7" t="n">
        <v>45830</v>
      </c>
      <c r="D40" s="6" t="s">
        <v>86</v>
      </c>
      <c r="E40" s="6" t="s">
        <v>119</v>
      </c>
      <c r="F40" s="6" t="s">
        <v>69</v>
      </c>
      <c r="G40" s="6" t="s">
        <v>27</v>
      </c>
      <c r="H40" s="8" t="n">
        <v>5</v>
      </c>
      <c r="I40" s="9" t="n">
        <v>47214.4</v>
      </c>
      <c r="J40" s="9" t="n">
        <f aca="false">H40*I40</f>
        <v>236072</v>
      </c>
      <c r="K40" s="6" t="s">
        <v>52</v>
      </c>
      <c r="L40" s="6" t="s">
        <v>48</v>
      </c>
      <c r="M40" s="6" t="s">
        <v>30</v>
      </c>
      <c r="N40" s="6" t="s">
        <v>31</v>
      </c>
      <c r="O40" s="6"/>
      <c r="P40" s="8" t="n">
        <f aca="false">Config!$B$1-B40</f>
        <v>352</v>
      </c>
      <c r="Q40" s="8" t="n">
        <f aca="false">IFERROR(INDEX('Failure Reference'!$C$4:$C$9,MATCH(O40,'Failure Reference'!$A$4:$A$9,0)),0)</f>
        <v>0</v>
      </c>
      <c r="R40" s="8" t="n">
        <f aca="false">IF(N40="Settled",0,Q40+P40*0.5+IFERROR(INDEX(Config!$B$4:$B$7,MATCH(D40,Config!$A$4:$A$7,0)),1)+IF(C40-Config!$B$1&lt;=1,5,0))</f>
        <v>0</v>
      </c>
      <c r="S40" s="10" t="str">
        <f aca="false">IF(R40=0,"Green",IF(R40&lt;10,"Amber","Red"))</f>
        <v>Green</v>
      </c>
      <c r="T40" s="6" t="str">
        <f aca="false">IF(N40="Settled","None",IF(C40-Config!$B$1&lt;=0,"Overdue",IF(C40-Config!$B$1&lt;=1,"Critical",IF(C40-Config!$B$1&lt;=3,"High","Low"))))</f>
        <v>None</v>
      </c>
      <c r="U40" s="8" t="str">
        <f aca="false">IF(R40=0,"",RANK(R40,$R$5:$R$104,0))</f>
        <v/>
      </c>
    </row>
    <row r="41" customFormat="false" ht="15" hidden="false" customHeight="true" outlineLevel="0" collapsed="false">
      <c r="A41" s="6" t="s">
        <v>124</v>
      </c>
      <c r="B41" s="7" t="n">
        <v>45667</v>
      </c>
      <c r="C41" s="7" t="n">
        <v>45668</v>
      </c>
      <c r="D41" s="6" t="s">
        <v>67</v>
      </c>
      <c r="E41" s="6" t="s">
        <v>76</v>
      </c>
      <c r="F41" s="6" t="s">
        <v>69</v>
      </c>
      <c r="G41" s="6" t="s">
        <v>77</v>
      </c>
      <c r="H41" s="8" t="n">
        <v>25</v>
      </c>
      <c r="I41" s="9" t="n">
        <v>2.73</v>
      </c>
      <c r="J41" s="9" t="n">
        <f aca="false">H41*I41</f>
        <v>68.25</v>
      </c>
      <c r="K41" s="6" t="s">
        <v>41</v>
      </c>
      <c r="L41" s="6" t="s">
        <v>35</v>
      </c>
      <c r="M41" s="6" t="s">
        <v>30</v>
      </c>
      <c r="N41" s="6" t="s">
        <v>43</v>
      </c>
      <c r="O41" s="6" t="s">
        <v>125</v>
      </c>
      <c r="P41" s="8" t="n">
        <f aca="false">Config!$B$1-B41</f>
        <v>514</v>
      </c>
      <c r="Q41" s="8" t="n">
        <f aca="false">IFERROR(INDEX('Failure Reference'!$C$4:$C$9,MATCH(O41,'Failure Reference'!$A$4:$A$9,0)),0)</f>
        <v>10</v>
      </c>
      <c r="R41" s="8" t="n">
        <f aca="false">IF(N41="Settled",0,Q41+P41*0.5+IFERROR(INDEX(Config!$B$4:$B$7,MATCH(D41,Config!$A$4:$A$7,0)),1)+IF(C41-Config!$B$1&lt;=1,5,0))</f>
        <v>274.5</v>
      </c>
      <c r="S41" s="10" t="str">
        <f aca="false">IF(R41=0,"Green",IF(R41&lt;10,"Amber","Red"))</f>
        <v>Red</v>
      </c>
      <c r="T41" s="6" t="str">
        <f aca="false">IF(N41="Settled","None",IF(C41-Config!$B$1&lt;=0,"Overdue",IF(C41-Config!$B$1&lt;=1,"Critical",IF(C41-Config!$B$1&lt;=3,"High","Low"))))</f>
        <v>Overdue</v>
      </c>
      <c r="U41" s="8" t="n">
        <f aca="false">IF(R41=0,"",RANK(R41,$R$5:$R$104,0))</f>
        <v>1</v>
      </c>
    </row>
    <row r="42" customFormat="false" ht="15" hidden="false" customHeight="true" outlineLevel="0" collapsed="false">
      <c r="A42" s="6" t="s">
        <v>126</v>
      </c>
      <c r="B42" s="7" t="n">
        <v>45716</v>
      </c>
      <c r="C42" s="7" t="n">
        <v>45717</v>
      </c>
      <c r="D42" s="6" t="s">
        <v>86</v>
      </c>
      <c r="E42" s="6" t="s">
        <v>119</v>
      </c>
      <c r="F42" s="6" t="s">
        <v>69</v>
      </c>
      <c r="G42" s="6" t="s">
        <v>27</v>
      </c>
      <c r="H42" s="8" t="n">
        <v>1</v>
      </c>
      <c r="I42" s="9" t="n">
        <v>48662.82</v>
      </c>
      <c r="J42" s="9" t="n">
        <f aca="false">H42*I42</f>
        <v>48662.82</v>
      </c>
      <c r="K42" s="6" t="s">
        <v>56</v>
      </c>
      <c r="L42" s="6" t="s">
        <v>41</v>
      </c>
      <c r="M42" s="6" t="s">
        <v>30</v>
      </c>
      <c r="N42" s="6" t="s">
        <v>31</v>
      </c>
      <c r="O42" s="6"/>
      <c r="P42" s="8" t="n">
        <f aca="false">Config!$B$1-B42</f>
        <v>465</v>
      </c>
      <c r="Q42" s="8" t="n">
        <f aca="false">IFERROR(INDEX('Failure Reference'!$C$4:$C$9,MATCH(O42,'Failure Reference'!$A$4:$A$9,0)),0)</f>
        <v>0</v>
      </c>
      <c r="R42" s="8" t="n">
        <f aca="false">IF(N42="Settled",0,Q42+P42*0.5+IFERROR(INDEX(Config!$B$4:$B$7,MATCH(D42,Config!$A$4:$A$7,0)),1)+IF(C42-Config!$B$1&lt;=1,5,0))</f>
        <v>0</v>
      </c>
      <c r="S42" s="10" t="str">
        <f aca="false">IF(R42=0,"Green",IF(R42&lt;10,"Amber","Red"))</f>
        <v>Green</v>
      </c>
      <c r="T42" s="6" t="str">
        <f aca="false">IF(N42="Settled","None",IF(C42-Config!$B$1&lt;=0,"Overdue",IF(C42-Config!$B$1&lt;=1,"Critical",IF(C42-Config!$B$1&lt;=3,"High","Low"))))</f>
        <v>None</v>
      </c>
      <c r="U42" s="8" t="str">
        <f aca="false">IF(R42=0,"",RANK(R42,$R$5:$R$104,0))</f>
        <v/>
      </c>
    </row>
    <row r="43" customFormat="false" ht="15" hidden="false" customHeight="true" outlineLevel="0" collapsed="false">
      <c r="A43" s="6" t="s">
        <v>127</v>
      </c>
      <c r="B43" s="7" t="n">
        <v>45729</v>
      </c>
      <c r="C43" s="7" t="n">
        <v>45730</v>
      </c>
      <c r="D43" s="6" t="s">
        <v>37</v>
      </c>
      <c r="E43" s="6" t="s">
        <v>128</v>
      </c>
      <c r="F43" s="6" t="s">
        <v>129</v>
      </c>
      <c r="G43" s="6" t="s">
        <v>27</v>
      </c>
      <c r="H43" s="8" t="n">
        <v>1000</v>
      </c>
      <c r="I43" s="9" t="n">
        <v>103.7</v>
      </c>
      <c r="J43" s="9" t="n">
        <f aca="false">H43*I43</f>
        <v>103700</v>
      </c>
      <c r="K43" s="6" t="s">
        <v>35</v>
      </c>
      <c r="L43" s="6" t="s">
        <v>56</v>
      </c>
      <c r="M43" s="6" t="s">
        <v>42</v>
      </c>
      <c r="N43" s="6" t="s">
        <v>71</v>
      </c>
      <c r="O43" s="6"/>
      <c r="P43" s="8" t="n">
        <f aca="false">Config!$B$1-B43</f>
        <v>452</v>
      </c>
      <c r="Q43" s="8" t="n">
        <f aca="false">IFERROR(INDEX('Failure Reference'!$C$4:$C$9,MATCH(O43,'Failure Reference'!$A$4:$A$9,0)),0)</f>
        <v>0</v>
      </c>
      <c r="R43" s="8" t="n">
        <f aca="false">IF(N43="Settled",0,Q43+P43*0.5+IFERROR(INDEX(Config!$B$4:$B$7,MATCH(D43,Config!$A$4:$A$7,0)),1)+IF(C43-Config!$B$1&lt;=1,5,0))</f>
        <v>232.5</v>
      </c>
      <c r="S43" s="10" t="str">
        <f aca="false">IF(R43=0,"Green",IF(R43&lt;10,"Amber","Red"))</f>
        <v>Red</v>
      </c>
      <c r="T43" s="6" t="str">
        <f aca="false">IF(N43="Settled","None",IF(C43-Config!$B$1&lt;=0,"Overdue",IF(C43-Config!$B$1&lt;=1,"Critical",IF(C43-Config!$B$1&lt;=3,"High","Low"))))</f>
        <v>Overdue</v>
      </c>
      <c r="U43" s="8" t="n">
        <f aca="false">IF(R43=0,"",RANK(R43,$R$5:$R$104,0))</f>
        <v>13</v>
      </c>
    </row>
    <row r="44" customFormat="false" ht="15" hidden="false" customHeight="true" outlineLevel="0" collapsed="false">
      <c r="A44" s="6" t="s">
        <v>130</v>
      </c>
      <c r="B44" s="7" t="n">
        <v>45788</v>
      </c>
      <c r="C44" s="7" t="n">
        <v>45789</v>
      </c>
      <c r="D44" s="6" t="s">
        <v>37</v>
      </c>
      <c r="E44" s="6" t="s">
        <v>46</v>
      </c>
      <c r="F44" s="6" t="s">
        <v>47</v>
      </c>
      <c r="G44" s="6" t="s">
        <v>27</v>
      </c>
      <c r="H44" s="8" t="n">
        <v>25000</v>
      </c>
      <c r="I44" s="9" t="n">
        <v>98.83</v>
      </c>
      <c r="J44" s="9" t="n">
        <f aca="false">H44*I44</f>
        <v>2470750</v>
      </c>
      <c r="K44" s="6" t="s">
        <v>28</v>
      </c>
      <c r="L44" s="6" t="s">
        <v>62</v>
      </c>
      <c r="M44" s="6" t="s">
        <v>30</v>
      </c>
      <c r="N44" s="6" t="s">
        <v>31</v>
      </c>
      <c r="O44" s="6"/>
      <c r="P44" s="8" t="n">
        <f aca="false">Config!$B$1-B44</f>
        <v>393</v>
      </c>
      <c r="Q44" s="8" t="n">
        <f aca="false">IFERROR(INDEX('Failure Reference'!$C$4:$C$9,MATCH(O44,'Failure Reference'!$A$4:$A$9,0)),0)</f>
        <v>0</v>
      </c>
      <c r="R44" s="8" t="n">
        <f aca="false">IF(N44="Settled",0,Q44+P44*0.5+IFERROR(INDEX(Config!$B$4:$B$7,MATCH(D44,Config!$A$4:$A$7,0)),1)+IF(C44-Config!$B$1&lt;=1,5,0))</f>
        <v>0</v>
      </c>
      <c r="S44" s="10" t="str">
        <f aca="false">IF(R44=0,"Green",IF(R44&lt;10,"Amber","Red"))</f>
        <v>Green</v>
      </c>
      <c r="T44" s="6" t="str">
        <f aca="false">IF(N44="Settled","None",IF(C44-Config!$B$1&lt;=0,"Overdue",IF(C44-Config!$B$1&lt;=1,"Critical",IF(C44-Config!$B$1&lt;=3,"High","Low"))))</f>
        <v>None</v>
      </c>
      <c r="U44" s="8" t="str">
        <f aca="false">IF(R44=0,"",RANK(R44,$R$5:$R$104,0))</f>
        <v/>
      </c>
    </row>
    <row r="45" customFormat="false" ht="15" hidden="false" customHeight="true" outlineLevel="0" collapsed="false">
      <c r="A45" s="6" t="s">
        <v>131</v>
      </c>
      <c r="B45" s="7" t="n">
        <v>45724</v>
      </c>
      <c r="C45" s="7" t="n">
        <v>45725</v>
      </c>
      <c r="D45" s="6" t="s">
        <v>67</v>
      </c>
      <c r="E45" s="6" t="s">
        <v>132</v>
      </c>
      <c r="F45" s="6" t="s">
        <v>69</v>
      </c>
      <c r="G45" s="6" t="s">
        <v>77</v>
      </c>
      <c r="H45" s="8" t="n">
        <v>200</v>
      </c>
      <c r="I45" s="9" t="n">
        <v>93166.05</v>
      </c>
      <c r="J45" s="9" t="n">
        <f aca="false">H45*I45</f>
        <v>18633210</v>
      </c>
      <c r="K45" s="6" t="s">
        <v>28</v>
      </c>
      <c r="L45" s="6" t="s">
        <v>62</v>
      </c>
      <c r="M45" s="6" t="s">
        <v>30</v>
      </c>
      <c r="N45" s="6" t="s">
        <v>31</v>
      </c>
      <c r="O45" s="6"/>
      <c r="P45" s="8" t="n">
        <f aca="false">Config!$B$1-B45</f>
        <v>457</v>
      </c>
      <c r="Q45" s="8" t="n">
        <f aca="false">IFERROR(INDEX('Failure Reference'!$C$4:$C$9,MATCH(O45,'Failure Reference'!$A$4:$A$9,0)),0)</f>
        <v>0</v>
      </c>
      <c r="R45" s="8" t="n">
        <f aca="false">IF(N45="Settled",0,Q45+P45*0.5+IFERROR(INDEX(Config!$B$4:$B$7,MATCH(D45,Config!$A$4:$A$7,0)),1)+IF(C45-Config!$B$1&lt;=1,5,0))</f>
        <v>0</v>
      </c>
      <c r="S45" s="10" t="str">
        <f aca="false">IF(R45=0,"Green",IF(R45&lt;10,"Amber","Red"))</f>
        <v>Green</v>
      </c>
      <c r="T45" s="6" t="str">
        <f aca="false">IF(N45="Settled","None",IF(C45-Config!$B$1&lt;=0,"Overdue",IF(C45-Config!$B$1&lt;=1,"Critical",IF(C45-Config!$B$1&lt;=3,"High","Low"))))</f>
        <v>None</v>
      </c>
      <c r="U45" s="8" t="str">
        <f aca="false">IF(R45=0,"",RANK(R45,$R$5:$R$104,0))</f>
        <v/>
      </c>
    </row>
    <row r="46" customFormat="false" ht="15" hidden="false" customHeight="true" outlineLevel="0" collapsed="false">
      <c r="A46" s="6" t="s">
        <v>133</v>
      </c>
      <c r="B46" s="7" t="n">
        <v>45810</v>
      </c>
      <c r="C46" s="7" t="n">
        <v>45811</v>
      </c>
      <c r="D46" s="6" t="s">
        <v>86</v>
      </c>
      <c r="E46" s="6" t="s">
        <v>121</v>
      </c>
      <c r="F46" s="6" t="s">
        <v>69</v>
      </c>
      <c r="G46" s="6" t="s">
        <v>27</v>
      </c>
      <c r="H46" s="8" t="n">
        <v>5</v>
      </c>
      <c r="I46" s="9" t="n">
        <v>84.65</v>
      </c>
      <c r="J46" s="9" t="n">
        <f aca="false">H46*I46</f>
        <v>423.25</v>
      </c>
      <c r="K46" s="6" t="s">
        <v>41</v>
      </c>
      <c r="L46" s="6" t="s">
        <v>48</v>
      </c>
      <c r="M46" s="6" t="s">
        <v>30</v>
      </c>
      <c r="N46" s="6" t="s">
        <v>31</v>
      </c>
      <c r="O46" s="6"/>
      <c r="P46" s="8" t="n">
        <f aca="false">Config!$B$1-B46</f>
        <v>371</v>
      </c>
      <c r="Q46" s="8" t="n">
        <f aca="false">IFERROR(INDEX('Failure Reference'!$C$4:$C$9,MATCH(O46,'Failure Reference'!$A$4:$A$9,0)),0)</f>
        <v>0</v>
      </c>
      <c r="R46" s="8" t="n">
        <f aca="false">IF(N46="Settled",0,Q46+P46*0.5+IFERROR(INDEX(Config!$B$4:$B$7,MATCH(D46,Config!$A$4:$A$7,0)),1)+IF(C46-Config!$B$1&lt;=1,5,0))</f>
        <v>0</v>
      </c>
      <c r="S46" s="10" t="str">
        <f aca="false">IF(R46=0,"Green",IF(R46&lt;10,"Amber","Red"))</f>
        <v>Green</v>
      </c>
      <c r="T46" s="6" t="str">
        <f aca="false">IF(N46="Settled","None",IF(C46-Config!$B$1&lt;=0,"Overdue",IF(C46-Config!$B$1&lt;=1,"Critical",IF(C46-Config!$B$1&lt;=3,"High","Low"))))</f>
        <v>None</v>
      </c>
      <c r="U46" s="8" t="str">
        <f aca="false">IF(R46=0,"",RANK(R46,$R$5:$R$104,0))</f>
        <v/>
      </c>
    </row>
    <row r="47" customFormat="false" ht="15" hidden="false" customHeight="true" outlineLevel="0" collapsed="false">
      <c r="A47" s="6" t="s">
        <v>134</v>
      </c>
      <c r="B47" s="7" t="n">
        <v>45813</v>
      </c>
      <c r="C47" s="7" t="n">
        <v>45814</v>
      </c>
      <c r="D47" s="6" t="s">
        <v>37</v>
      </c>
      <c r="E47" s="6" t="s">
        <v>112</v>
      </c>
      <c r="F47" s="6" t="s">
        <v>113</v>
      </c>
      <c r="G47" s="6" t="s">
        <v>27</v>
      </c>
      <c r="H47" s="8" t="n">
        <v>1000</v>
      </c>
      <c r="I47" s="9" t="n">
        <v>98.35</v>
      </c>
      <c r="J47" s="9" t="n">
        <f aca="false">H47*I47</f>
        <v>98350</v>
      </c>
      <c r="K47" s="6" t="s">
        <v>29</v>
      </c>
      <c r="L47" s="6" t="s">
        <v>40</v>
      </c>
      <c r="M47" s="6" t="s">
        <v>30</v>
      </c>
      <c r="N47" s="6" t="s">
        <v>31</v>
      </c>
      <c r="O47" s="6"/>
      <c r="P47" s="8" t="n">
        <f aca="false">Config!$B$1-B47</f>
        <v>368</v>
      </c>
      <c r="Q47" s="8" t="n">
        <f aca="false">IFERROR(INDEX('Failure Reference'!$C$4:$C$9,MATCH(O47,'Failure Reference'!$A$4:$A$9,0)),0)</f>
        <v>0</v>
      </c>
      <c r="R47" s="8" t="n">
        <f aca="false">IF(N47="Settled",0,Q47+P47*0.5+IFERROR(INDEX(Config!$B$4:$B$7,MATCH(D47,Config!$A$4:$A$7,0)),1)+IF(C47-Config!$B$1&lt;=1,5,0))</f>
        <v>0</v>
      </c>
      <c r="S47" s="10" t="str">
        <f aca="false">IF(R47=0,"Green",IF(R47&lt;10,"Amber","Red"))</f>
        <v>Green</v>
      </c>
      <c r="T47" s="6" t="str">
        <f aca="false">IF(N47="Settled","None",IF(C47-Config!$B$1&lt;=0,"Overdue",IF(C47-Config!$B$1&lt;=1,"Critical",IF(C47-Config!$B$1&lt;=3,"High","Low"))))</f>
        <v>None</v>
      </c>
      <c r="U47" s="8" t="str">
        <f aca="false">IF(R47=0,"",RANK(R47,$R$5:$R$104,0))</f>
        <v/>
      </c>
    </row>
    <row r="48" customFormat="false" ht="15" hidden="false" customHeight="true" outlineLevel="0" collapsed="false">
      <c r="A48" s="6" t="s">
        <v>135</v>
      </c>
      <c r="B48" s="7" t="n">
        <v>45723</v>
      </c>
      <c r="C48" s="7" t="n">
        <v>45724</v>
      </c>
      <c r="D48" s="6" t="s">
        <v>24</v>
      </c>
      <c r="E48" s="6" t="s">
        <v>136</v>
      </c>
      <c r="F48" s="6" t="s">
        <v>137</v>
      </c>
      <c r="G48" s="6" t="s">
        <v>27</v>
      </c>
      <c r="H48" s="8" t="n">
        <v>1000</v>
      </c>
      <c r="I48" s="9" t="n">
        <v>2831.78</v>
      </c>
      <c r="J48" s="9" t="n">
        <f aca="false">H48*I48</f>
        <v>2831780</v>
      </c>
      <c r="K48" s="6" t="s">
        <v>57</v>
      </c>
      <c r="L48" s="6" t="s">
        <v>29</v>
      </c>
      <c r="M48" s="6" t="s">
        <v>30</v>
      </c>
      <c r="N48" s="6" t="s">
        <v>31</v>
      </c>
      <c r="O48" s="6"/>
      <c r="P48" s="8" t="n">
        <f aca="false">Config!$B$1-B48</f>
        <v>458</v>
      </c>
      <c r="Q48" s="8" t="n">
        <f aca="false">IFERROR(INDEX('Failure Reference'!$C$4:$C$9,MATCH(O48,'Failure Reference'!$A$4:$A$9,0)),0)</f>
        <v>0</v>
      </c>
      <c r="R48" s="8" t="n">
        <f aca="false">IF(N48="Settled",0,Q48+P48*0.5+IFERROR(INDEX(Config!$B$4:$B$7,MATCH(D48,Config!$A$4:$A$7,0)),1)+IF(C48-Config!$B$1&lt;=1,5,0))</f>
        <v>0</v>
      </c>
      <c r="S48" s="10" t="str">
        <f aca="false">IF(R48=0,"Green",IF(R48&lt;10,"Amber","Red"))</f>
        <v>Green</v>
      </c>
      <c r="T48" s="6" t="str">
        <f aca="false">IF(N48="Settled","None",IF(C48-Config!$B$1&lt;=0,"Overdue",IF(C48-Config!$B$1&lt;=1,"Critical",IF(C48-Config!$B$1&lt;=3,"High","Low"))))</f>
        <v>None</v>
      </c>
      <c r="U48" s="8" t="str">
        <f aca="false">IF(R48=0,"",RANK(R48,$R$5:$R$104,0))</f>
        <v/>
      </c>
    </row>
    <row r="49" customFormat="false" ht="15" hidden="false" customHeight="true" outlineLevel="0" collapsed="false">
      <c r="A49" s="6" t="s">
        <v>138</v>
      </c>
      <c r="B49" s="7" t="n">
        <v>45833</v>
      </c>
      <c r="C49" s="7" t="n">
        <v>45834</v>
      </c>
      <c r="D49" s="6" t="s">
        <v>24</v>
      </c>
      <c r="E49" s="6" t="s">
        <v>83</v>
      </c>
      <c r="F49" s="6" t="s">
        <v>84</v>
      </c>
      <c r="G49" s="6" t="s">
        <v>27</v>
      </c>
      <c r="H49" s="8" t="n">
        <v>1000</v>
      </c>
      <c r="I49" s="9" t="n">
        <v>11516.67</v>
      </c>
      <c r="J49" s="9" t="n">
        <f aca="false">H49*I49</f>
        <v>11516670</v>
      </c>
      <c r="K49" s="6" t="s">
        <v>40</v>
      </c>
      <c r="L49" s="6" t="s">
        <v>56</v>
      </c>
      <c r="M49" s="6" t="s">
        <v>30</v>
      </c>
      <c r="N49" s="6" t="s">
        <v>31</v>
      </c>
      <c r="O49" s="6"/>
      <c r="P49" s="8" t="n">
        <f aca="false">Config!$B$1-B49</f>
        <v>348</v>
      </c>
      <c r="Q49" s="8" t="n">
        <f aca="false">IFERROR(INDEX('Failure Reference'!$C$4:$C$9,MATCH(O49,'Failure Reference'!$A$4:$A$9,0)),0)</f>
        <v>0</v>
      </c>
      <c r="R49" s="8" t="n">
        <f aca="false">IF(N49="Settled",0,Q49+P49*0.5+IFERROR(INDEX(Config!$B$4:$B$7,MATCH(D49,Config!$A$4:$A$7,0)),1)+IF(C49-Config!$B$1&lt;=1,5,0))</f>
        <v>0</v>
      </c>
      <c r="S49" s="10" t="str">
        <f aca="false">IF(R49=0,"Green",IF(R49&lt;10,"Amber","Red"))</f>
        <v>Green</v>
      </c>
      <c r="T49" s="6" t="str">
        <f aca="false">IF(N49="Settled","None",IF(C49-Config!$B$1&lt;=0,"Overdue",IF(C49-Config!$B$1&lt;=1,"Critical",IF(C49-Config!$B$1&lt;=3,"High","Low"))))</f>
        <v>None</v>
      </c>
      <c r="U49" s="8" t="str">
        <f aca="false">IF(R49=0,"",RANK(R49,$R$5:$R$104,0))</f>
        <v/>
      </c>
    </row>
    <row r="50" customFormat="false" ht="15" hidden="false" customHeight="true" outlineLevel="0" collapsed="false">
      <c r="A50" s="6" t="s">
        <v>139</v>
      </c>
      <c r="B50" s="7" t="n">
        <v>45768</v>
      </c>
      <c r="C50" s="7" t="n">
        <v>45769</v>
      </c>
      <c r="D50" s="6" t="s">
        <v>24</v>
      </c>
      <c r="E50" s="6" t="s">
        <v>89</v>
      </c>
      <c r="F50" s="6" t="s">
        <v>90</v>
      </c>
      <c r="G50" s="6" t="s">
        <v>27</v>
      </c>
      <c r="H50" s="8" t="n">
        <v>1000</v>
      </c>
      <c r="I50" s="9" t="n">
        <v>1583.96</v>
      </c>
      <c r="J50" s="9" t="n">
        <f aca="false">H50*I50</f>
        <v>1583960</v>
      </c>
      <c r="K50" s="6" t="s">
        <v>29</v>
      </c>
      <c r="L50" s="6" t="s">
        <v>41</v>
      </c>
      <c r="M50" s="6" t="s">
        <v>30</v>
      </c>
      <c r="N50" s="6" t="s">
        <v>31</v>
      </c>
      <c r="O50" s="6"/>
      <c r="P50" s="8" t="n">
        <f aca="false">Config!$B$1-B50</f>
        <v>413</v>
      </c>
      <c r="Q50" s="8" t="n">
        <f aca="false">IFERROR(INDEX('Failure Reference'!$C$4:$C$9,MATCH(O50,'Failure Reference'!$A$4:$A$9,0)),0)</f>
        <v>0</v>
      </c>
      <c r="R50" s="8" t="n">
        <f aca="false">IF(N50="Settled",0,Q50+P50*0.5+IFERROR(INDEX(Config!$B$4:$B$7,MATCH(D50,Config!$A$4:$A$7,0)),1)+IF(C50-Config!$B$1&lt;=1,5,0))</f>
        <v>0</v>
      </c>
      <c r="S50" s="10" t="str">
        <f aca="false">IF(R50=0,"Green",IF(R50&lt;10,"Amber","Red"))</f>
        <v>Green</v>
      </c>
      <c r="T50" s="6" t="str">
        <f aca="false">IF(N50="Settled","None",IF(C50-Config!$B$1&lt;=0,"Overdue",IF(C50-Config!$B$1&lt;=1,"Critical",IF(C50-Config!$B$1&lt;=3,"High","Low"))))</f>
        <v>None</v>
      </c>
      <c r="U50" s="8" t="str">
        <f aca="false">IF(R50=0,"",RANK(R50,$R$5:$R$104,0))</f>
        <v/>
      </c>
    </row>
    <row r="51" customFormat="false" ht="15" hidden="false" customHeight="true" outlineLevel="0" collapsed="false">
      <c r="A51" s="6" t="s">
        <v>140</v>
      </c>
      <c r="B51" s="7" t="n">
        <v>45827</v>
      </c>
      <c r="C51" s="7" t="n">
        <v>45828</v>
      </c>
      <c r="D51" s="6" t="s">
        <v>24</v>
      </c>
      <c r="E51" s="6" t="s">
        <v>108</v>
      </c>
      <c r="F51" s="6" t="s">
        <v>109</v>
      </c>
      <c r="G51" s="6" t="s">
        <v>27</v>
      </c>
      <c r="H51" s="8" t="n">
        <v>100</v>
      </c>
      <c r="I51" s="9" t="n">
        <v>485.44</v>
      </c>
      <c r="J51" s="9" t="n">
        <f aca="false">H51*I51</f>
        <v>48544</v>
      </c>
      <c r="K51" s="6" t="s">
        <v>35</v>
      </c>
      <c r="L51" s="6" t="s">
        <v>29</v>
      </c>
      <c r="M51" s="6" t="s">
        <v>30</v>
      </c>
      <c r="N51" s="6" t="s">
        <v>31</v>
      </c>
      <c r="O51" s="6"/>
      <c r="P51" s="8" t="n">
        <f aca="false">Config!$B$1-B51</f>
        <v>354</v>
      </c>
      <c r="Q51" s="8" t="n">
        <f aca="false">IFERROR(INDEX('Failure Reference'!$C$4:$C$9,MATCH(O51,'Failure Reference'!$A$4:$A$9,0)),0)</f>
        <v>0</v>
      </c>
      <c r="R51" s="8" t="n">
        <f aca="false">IF(N51="Settled",0,Q51+P51*0.5+IFERROR(INDEX(Config!$B$4:$B$7,MATCH(D51,Config!$A$4:$A$7,0)),1)+IF(C51-Config!$B$1&lt;=1,5,0))</f>
        <v>0</v>
      </c>
      <c r="S51" s="10" t="str">
        <f aca="false">IF(R51=0,"Green",IF(R51&lt;10,"Amber","Red"))</f>
        <v>Green</v>
      </c>
      <c r="T51" s="6" t="str">
        <f aca="false">IF(N51="Settled","None",IF(C51-Config!$B$1&lt;=0,"Overdue",IF(C51-Config!$B$1&lt;=1,"Critical",IF(C51-Config!$B$1&lt;=3,"High","Low"))))</f>
        <v>None</v>
      </c>
      <c r="U51" s="8" t="str">
        <f aca="false">IF(R51=0,"",RANK(R51,$R$5:$R$104,0))</f>
        <v/>
      </c>
    </row>
    <row r="52" customFormat="false" ht="15" hidden="false" customHeight="true" outlineLevel="0" collapsed="false">
      <c r="A52" s="6" t="s">
        <v>141</v>
      </c>
      <c r="B52" s="7" t="n">
        <v>45737</v>
      </c>
      <c r="C52" s="7" t="n">
        <v>45738</v>
      </c>
      <c r="D52" s="6" t="s">
        <v>37</v>
      </c>
      <c r="E52" s="6" t="s">
        <v>54</v>
      </c>
      <c r="F52" s="6" t="s">
        <v>55</v>
      </c>
      <c r="G52" s="6" t="s">
        <v>27</v>
      </c>
      <c r="H52" s="8" t="n">
        <v>10000</v>
      </c>
      <c r="I52" s="9" t="n">
        <v>101.59</v>
      </c>
      <c r="J52" s="9" t="n">
        <f aca="false">H52*I52</f>
        <v>1015900</v>
      </c>
      <c r="K52" s="6" t="s">
        <v>35</v>
      </c>
      <c r="L52" s="6" t="s">
        <v>29</v>
      </c>
      <c r="M52" s="6" t="s">
        <v>30</v>
      </c>
      <c r="N52" s="6" t="s">
        <v>31</v>
      </c>
      <c r="O52" s="6"/>
      <c r="P52" s="8" t="n">
        <f aca="false">Config!$B$1-B52</f>
        <v>444</v>
      </c>
      <c r="Q52" s="8" t="n">
        <f aca="false">IFERROR(INDEX('Failure Reference'!$C$4:$C$9,MATCH(O52,'Failure Reference'!$A$4:$A$9,0)),0)</f>
        <v>0</v>
      </c>
      <c r="R52" s="8" t="n">
        <f aca="false">IF(N52="Settled",0,Q52+P52*0.5+IFERROR(INDEX(Config!$B$4:$B$7,MATCH(D52,Config!$A$4:$A$7,0)),1)+IF(C52-Config!$B$1&lt;=1,5,0))</f>
        <v>0</v>
      </c>
      <c r="S52" s="10" t="str">
        <f aca="false">IF(R52=0,"Green",IF(R52&lt;10,"Amber","Red"))</f>
        <v>Green</v>
      </c>
      <c r="T52" s="6" t="str">
        <f aca="false">IF(N52="Settled","None",IF(C52-Config!$B$1&lt;=0,"Overdue",IF(C52-Config!$B$1&lt;=1,"Critical",IF(C52-Config!$B$1&lt;=3,"High","Low"))))</f>
        <v>None</v>
      </c>
      <c r="U52" s="8" t="str">
        <f aca="false">IF(R52=0,"",RANK(R52,$R$5:$R$104,0))</f>
        <v/>
      </c>
    </row>
    <row r="53" customFormat="false" ht="15" hidden="false" customHeight="true" outlineLevel="0" collapsed="false">
      <c r="A53" s="6" t="s">
        <v>142</v>
      </c>
      <c r="B53" s="7" t="n">
        <v>45690</v>
      </c>
      <c r="C53" s="7" t="n">
        <v>45691</v>
      </c>
      <c r="D53" s="6" t="s">
        <v>37</v>
      </c>
      <c r="E53" s="6" t="s">
        <v>60</v>
      </c>
      <c r="F53" s="6" t="s">
        <v>61</v>
      </c>
      <c r="G53" s="6" t="s">
        <v>27</v>
      </c>
      <c r="H53" s="8" t="n">
        <v>10000</v>
      </c>
      <c r="I53" s="9" t="n">
        <v>99.15</v>
      </c>
      <c r="J53" s="9" t="n">
        <f aca="false">H53*I53</f>
        <v>991500</v>
      </c>
      <c r="K53" s="6" t="s">
        <v>56</v>
      </c>
      <c r="L53" s="6" t="s">
        <v>62</v>
      </c>
      <c r="M53" s="6" t="s">
        <v>30</v>
      </c>
      <c r="N53" s="6" t="s">
        <v>31</v>
      </c>
      <c r="O53" s="6"/>
      <c r="P53" s="8" t="n">
        <f aca="false">Config!$B$1-B53</f>
        <v>491</v>
      </c>
      <c r="Q53" s="8" t="n">
        <f aca="false">IFERROR(INDEX('Failure Reference'!$C$4:$C$9,MATCH(O53,'Failure Reference'!$A$4:$A$9,0)),0)</f>
        <v>0</v>
      </c>
      <c r="R53" s="8" t="n">
        <f aca="false">IF(N53="Settled",0,Q53+P53*0.5+IFERROR(INDEX(Config!$B$4:$B$7,MATCH(D53,Config!$A$4:$A$7,0)),1)+IF(C53-Config!$B$1&lt;=1,5,0))</f>
        <v>0</v>
      </c>
      <c r="S53" s="10" t="str">
        <f aca="false">IF(R53=0,"Green",IF(R53&lt;10,"Amber","Red"))</f>
        <v>Green</v>
      </c>
      <c r="T53" s="6" t="str">
        <f aca="false">IF(N53="Settled","None",IF(C53-Config!$B$1&lt;=0,"Overdue",IF(C53-Config!$B$1&lt;=1,"Critical",IF(C53-Config!$B$1&lt;=3,"High","Low"))))</f>
        <v>None</v>
      </c>
      <c r="U53" s="8" t="str">
        <f aca="false">IF(R53=0,"",RANK(R53,$R$5:$R$104,0))</f>
        <v/>
      </c>
    </row>
    <row r="54" customFormat="false" ht="15" hidden="false" customHeight="true" outlineLevel="0" collapsed="false">
      <c r="A54" s="6" t="s">
        <v>143</v>
      </c>
      <c r="B54" s="7" t="n">
        <v>45815</v>
      </c>
      <c r="C54" s="7" t="n">
        <v>45816</v>
      </c>
      <c r="D54" s="6" t="s">
        <v>86</v>
      </c>
      <c r="E54" s="6" t="s">
        <v>87</v>
      </c>
      <c r="F54" s="6" t="s">
        <v>69</v>
      </c>
      <c r="G54" s="6" t="s">
        <v>27</v>
      </c>
      <c r="H54" s="8" t="n">
        <v>5</v>
      </c>
      <c r="I54" s="9" t="n">
        <v>89.74</v>
      </c>
      <c r="J54" s="9" t="n">
        <f aca="false">H54*I54</f>
        <v>448.7</v>
      </c>
      <c r="K54" s="6" t="s">
        <v>28</v>
      </c>
      <c r="L54" s="6" t="s">
        <v>41</v>
      </c>
      <c r="M54" s="6" t="s">
        <v>30</v>
      </c>
      <c r="N54" s="6" t="s">
        <v>31</v>
      </c>
      <c r="O54" s="6"/>
      <c r="P54" s="8" t="n">
        <f aca="false">Config!$B$1-B54</f>
        <v>366</v>
      </c>
      <c r="Q54" s="8" t="n">
        <f aca="false">IFERROR(INDEX('Failure Reference'!$C$4:$C$9,MATCH(O54,'Failure Reference'!$A$4:$A$9,0)),0)</f>
        <v>0</v>
      </c>
      <c r="R54" s="8" t="n">
        <f aca="false">IF(N54="Settled",0,Q54+P54*0.5+IFERROR(INDEX(Config!$B$4:$B$7,MATCH(D54,Config!$A$4:$A$7,0)),1)+IF(C54-Config!$B$1&lt;=1,5,0))</f>
        <v>0</v>
      </c>
      <c r="S54" s="10" t="str">
        <f aca="false">IF(R54=0,"Green",IF(R54&lt;10,"Amber","Red"))</f>
        <v>Green</v>
      </c>
      <c r="T54" s="6" t="str">
        <f aca="false">IF(N54="Settled","None",IF(C54-Config!$B$1&lt;=0,"Overdue",IF(C54-Config!$B$1&lt;=1,"Critical",IF(C54-Config!$B$1&lt;=3,"High","Low"))))</f>
        <v>None</v>
      </c>
      <c r="U54" s="8" t="str">
        <f aca="false">IF(R54=0,"",RANK(R54,$R$5:$R$104,0))</f>
        <v/>
      </c>
    </row>
    <row r="55" customFormat="false" ht="15" hidden="false" customHeight="true" outlineLevel="0" collapsed="false">
      <c r="A55" s="6" t="s">
        <v>144</v>
      </c>
      <c r="B55" s="7" t="n">
        <v>45731</v>
      </c>
      <c r="C55" s="7" t="n">
        <v>45732</v>
      </c>
      <c r="D55" s="6" t="s">
        <v>37</v>
      </c>
      <c r="E55" s="6" t="s">
        <v>60</v>
      </c>
      <c r="F55" s="6" t="s">
        <v>61</v>
      </c>
      <c r="G55" s="6" t="s">
        <v>27</v>
      </c>
      <c r="H55" s="8" t="n">
        <v>10000</v>
      </c>
      <c r="I55" s="9" t="n">
        <v>99.63</v>
      </c>
      <c r="J55" s="9" t="n">
        <f aca="false">H55*I55</f>
        <v>996300</v>
      </c>
      <c r="K55" s="6" t="s">
        <v>29</v>
      </c>
      <c r="L55" s="6" t="s">
        <v>41</v>
      </c>
      <c r="M55" s="6" t="s">
        <v>145</v>
      </c>
      <c r="N55" s="6" t="s">
        <v>43</v>
      </c>
      <c r="O55" s="6" t="s">
        <v>146</v>
      </c>
      <c r="P55" s="8" t="n">
        <f aca="false">Config!$B$1-B55</f>
        <v>450</v>
      </c>
      <c r="Q55" s="8" t="n">
        <f aca="false">IFERROR(INDEX('Failure Reference'!$C$4:$C$9,MATCH(O55,'Failure Reference'!$A$4:$A$9,0)),0)</f>
        <v>7</v>
      </c>
      <c r="R55" s="8" t="n">
        <f aca="false">IF(N55="Settled",0,Q55+P55*0.5+IFERROR(INDEX(Config!$B$4:$B$7,MATCH(D55,Config!$A$4:$A$7,0)),1)+IF(C55-Config!$B$1&lt;=1,5,0))</f>
        <v>238.5</v>
      </c>
      <c r="S55" s="10" t="str">
        <f aca="false">IF(R55=0,"Green",IF(R55&lt;10,"Amber","Red"))</f>
        <v>Red</v>
      </c>
      <c r="T55" s="6" t="str">
        <f aca="false">IF(N55="Settled","None",IF(C55-Config!$B$1&lt;=0,"Overdue",IF(C55-Config!$B$1&lt;=1,"Critical",IF(C55-Config!$B$1&lt;=3,"High","Low"))))</f>
        <v>Overdue</v>
      </c>
      <c r="U55" s="8" t="n">
        <f aca="false">IF(R55=0,"",RANK(R55,$R$5:$R$104,0))</f>
        <v>12</v>
      </c>
    </row>
    <row r="56" customFormat="false" ht="15" hidden="false" customHeight="true" outlineLevel="0" collapsed="false">
      <c r="A56" s="6" t="s">
        <v>147</v>
      </c>
      <c r="B56" s="7" t="n">
        <v>45777</v>
      </c>
      <c r="C56" s="7" t="n">
        <v>45778</v>
      </c>
      <c r="D56" s="6" t="s">
        <v>86</v>
      </c>
      <c r="E56" s="6" t="s">
        <v>121</v>
      </c>
      <c r="F56" s="6" t="s">
        <v>69</v>
      </c>
      <c r="G56" s="6" t="s">
        <v>27</v>
      </c>
      <c r="H56" s="8" t="n">
        <v>10</v>
      </c>
      <c r="I56" s="9" t="n">
        <v>84.38</v>
      </c>
      <c r="J56" s="9" t="n">
        <f aca="false">H56*I56</f>
        <v>843.8</v>
      </c>
      <c r="K56" s="6" t="s">
        <v>57</v>
      </c>
      <c r="L56" s="6" t="s">
        <v>48</v>
      </c>
      <c r="M56" s="6" t="s">
        <v>30</v>
      </c>
      <c r="N56" s="6" t="s">
        <v>31</v>
      </c>
      <c r="O56" s="6"/>
      <c r="P56" s="8" t="n">
        <f aca="false">Config!$B$1-B56</f>
        <v>404</v>
      </c>
      <c r="Q56" s="8" t="n">
        <f aca="false">IFERROR(INDEX('Failure Reference'!$C$4:$C$9,MATCH(O56,'Failure Reference'!$A$4:$A$9,0)),0)</f>
        <v>0</v>
      </c>
      <c r="R56" s="8" t="n">
        <f aca="false">IF(N56="Settled",0,Q56+P56*0.5+IFERROR(INDEX(Config!$B$4:$B$7,MATCH(D56,Config!$A$4:$A$7,0)),1)+IF(C56-Config!$B$1&lt;=1,5,0))</f>
        <v>0</v>
      </c>
      <c r="S56" s="10" t="str">
        <f aca="false">IF(R56=0,"Green",IF(R56&lt;10,"Amber","Red"))</f>
        <v>Green</v>
      </c>
      <c r="T56" s="6" t="str">
        <f aca="false">IF(N56="Settled","None",IF(C56-Config!$B$1&lt;=0,"Overdue",IF(C56-Config!$B$1&lt;=1,"Critical",IF(C56-Config!$B$1&lt;=3,"High","Low"))))</f>
        <v>None</v>
      </c>
      <c r="U56" s="8" t="str">
        <f aca="false">IF(R56=0,"",RANK(R56,$R$5:$R$104,0))</f>
        <v/>
      </c>
    </row>
    <row r="57" customFormat="false" ht="15" hidden="false" customHeight="true" outlineLevel="0" collapsed="false">
      <c r="A57" s="6" t="s">
        <v>148</v>
      </c>
      <c r="B57" s="7" t="n">
        <v>45701</v>
      </c>
      <c r="C57" s="7" t="n">
        <v>45702</v>
      </c>
      <c r="D57" s="6" t="s">
        <v>67</v>
      </c>
      <c r="E57" s="6" t="s">
        <v>68</v>
      </c>
      <c r="F57" s="6" t="s">
        <v>69</v>
      </c>
      <c r="G57" s="6" t="s">
        <v>77</v>
      </c>
      <c r="H57" s="8" t="n">
        <v>50</v>
      </c>
      <c r="I57" s="9" t="n">
        <v>72656.84</v>
      </c>
      <c r="J57" s="9" t="n">
        <f aca="false">H57*I57</f>
        <v>3632842</v>
      </c>
      <c r="K57" s="6" t="s">
        <v>52</v>
      </c>
      <c r="L57" s="6" t="s">
        <v>35</v>
      </c>
      <c r="M57" s="6" t="s">
        <v>30</v>
      </c>
      <c r="N57" s="6" t="s">
        <v>31</v>
      </c>
      <c r="O57" s="6"/>
      <c r="P57" s="8" t="n">
        <f aca="false">Config!$B$1-B57</f>
        <v>480</v>
      </c>
      <c r="Q57" s="8" t="n">
        <f aca="false">IFERROR(INDEX('Failure Reference'!$C$4:$C$9,MATCH(O57,'Failure Reference'!$A$4:$A$9,0)),0)</f>
        <v>0</v>
      </c>
      <c r="R57" s="8" t="n">
        <f aca="false">IF(N57="Settled",0,Q57+P57*0.5+IFERROR(INDEX(Config!$B$4:$B$7,MATCH(D57,Config!$A$4:$A$7,0)),1)+IF(C57-Config!$B$1&lt;=1,5,0))</f>
        <v>0</v>
      </c>
      <c r="S57" s="10" t="str">
        <f aca="false">IF(R57=0,"Green",IF(R57&lt;10,"Amber","Red"))</f>
        <v>Green</v>
      </c>
      <c r="T57" s="6" t="str">
        <f aca="false">IF(N57="Settled","None",IF(C57-Config!$B$1&lt;=0,"Overdue",IF(C57-Config!$B$1&lt;=1,"Critical",IF(C57-Config!$B$1&lt;=3,"High","Low"))))</f>
        <v>None</v>
      </c>
      <c r="U57" s="8" t="str">
        <f aca="false">IF(R57=0,"",RANK(R57,$R$5:$R$104,0))</f>
        <v/>
      </c>
    </row>
    <row r="58" customFormat="false" ht="15" hidden="false" customHeight="true" outlineLevel="0" collapsed="false">
      <c r="A58" s="6" t="s">
        <v>149</v>
      </c>
      <c r="B58" s="7" t="n">
        <v>45830</v>
      </c>
      <c r="C58" s="7" t="n">
        <v>45831</v>
      </c>
      <c r="D58" s="6" t="s">
        <v>86</v>
      </c>
      <c r="E58" s="6" t="s">
        <v>150</v>
      </c>
      <c r="F58" s="6" t="s">
        <v>69</v>
      </c>
      <c r="G58" s="6" t="s">
        <v>27</v>
      </c>
      <c r="H58" s="8" t="n">
        <v>2</v>
      </c>
      <c r="I58" s="9" t="n">
        <v>2902.42</v>
      </c>
      <c r="J58" s="9" t="n">
        <f aca="false">H58*I58</f>
        <v>5804.84</v>
      </c>
      <c r="K58" s="6" t="s">
        <v>62</v>
      </c>
      <c r="L58" s="6" t="s">
        <v>28</v>
      </c>
      <c r="M58" s="6" t="s">
        <v>30</v>
      </c>
      <c r="N58" s="6" t="s">
        <v>31</v>
      </c>
      <c r="O58" s="6"/>
      <c r="P58" s="8" t="n">
        <f aca="false">Config!$B$1-B58</f>
        <v>351</v>
      </c>
      <c r="Q58" s="8" t="n">
        <f aca="false">IFERROR(INDEX('Failure Reference'!$C$4:$C$9,MATCH(O58,'Failure Reference'!$A$4:$A$9,0)),0)</f>
        <v>0</v>
      </c>
      <c r="R58" s="8" t="n">
        <f aca="false">IF(N58="Settled",0,Q58+P58*0.5+IFERROR(INDEX(Config!$B$4:$B$7,MATCH(D58,Config!$A$4:$A$7,0)),1)+IF(C58-Config!$B$1&lt;=1,5,0))</f>
        <v>0</v>
      </c>
      <c r="S58" s="10" t="str">
        <f aca="false">IF(R58=0,"Green",IF(R58&lt;10,"Amber","Red"))</f>
        <v>Green</v>
      </c>
      <c r="T58" s="6" t="str">
        <f aca="false">IF(N58="Settled","None",IF(C58-Config!$B$1&lt;=0,"Overdue",IF(C58-Config!$B$1&lt;=1,"Critical",IF(C58-Config!$B$1&lt;=3,"High","Low"))))</f>
        <v>None</v>
      </c>
      <c r="U58" s="8" t="str">
        <f aca="false">IF(R58=0,"",RANK(R58,$R$5:$R$104,0))</f>
        <v/>
      </c>
    </row>
    <row r="59" customFormat="false" ht="15" hidden="false" customHeight="true" outlineLevel="0" collapsed="false">
      <c r="A59" s="6" t="s">
        <v>151</v>
      </c>
      <c r="B59" s="7" t="n">
        <v>45669</v>
      </c>
      <c r="C59" s="7" t="n">
        <v>45670</v>
      </c>
      <c r="D59" s="6" t="s">
        <v>67</v>
      </c>
      <c r="E59" s="6" t="s">
        <v>132</v>
      </c>
      <c r="F59" s="6" t="s">
        <v>69</v>
      </c>
      <c r="G59" s="6" t="s">
        <v>27</v>
      </c>
      <c r="H59" s="8" t="n">
        <v>100</v>
      </c>
      <c r="I59" s="9" t="n">
        <v>88863.11</v>
      </c>
      <c r="J59" s="9" t="n">
        <f aca="false">H59*I59</f>
        <v>8886311</v>
      </c>
      <c r="K59" s="6" t="s">
        <v>48</v>
      </c>
      <c r="L59" s="6" t="s">
        <v>56</v>
      </c>
      <c r="M59" s="6" t="s">
        <v>30</v>
      </c>
      <c r="N59" s="6" t="s">
        <v>31</v>
      </c>
      <c r="O59" s="6"/>
      <c r="P59" s="8" t="n">
        <f aca="false">Config!$B$1-B59</f>
        <v>512</v>
      </c>
      <c r="Q59" s="8" t="n">
        <f aca="false">IFERROR(INDEX('Failure Reference'!$C$4:$C$9,MATCH(O59,'Failure Reference'!$A$4:$A$9,0)),0)</f>
        <v>0</v>
      </c>
      <c r="R59" s="8" t="n">
        <f aca="false">IF(N59="Settled",0,Q59+P59*0.5+IFERROR(INDEX(Config!$B$4:$B$7,MATCH(D59,Config!$A$4:$A$7,0)),1)+IF(C59-Config!$B$1&lt;=1,5,0))</f>
        <v>0</v>
      </c>
      <c r="S59" s="10" t="str">
        <f aca="false">IF(R59=0,"Green",IF(R59&lt;10,"Amber","Red"))</f>
        <v>Green</v>
      </c>
      <c r="T59" s="6" t="str">
        <f aca="false">IF(N59="Settled","None",IF(C59-Config!$B$1&lt;=0,"Overdue",IF(C59-Config!$B$1&lt;=1,"Critical",IF(C59-Config!$B$1&lt;=3,"High","Low"))))</f>
        <v>None</v>
      </c>
      <c r="U59" s="8" t="str">
        <f aca="false">IF(R59=0,"",RANK(R59,$R$5:$R$104,0))</f>
        <v/>
      </c>
    </row>
    <row r="60" customFormat="false" ht="15" hidden="false" customHeight="true" outlineLevel="0" collapsed="false">
      <c r="A60" s="6" t="s">
        <v>152</v>
      </c>
      <c r="B60" s="7" t="n">
        <v>45819</v>
      </c>
      <c r="C60" s="7" t="n">
        <v>45820</v>
      </c>
      <c r="D60" s="6" t="s">
        <v>67</v>
      </c>
      <c r="E60" s="6" t="s">
        <v>101</v>
      </c>
      <c r="F60" s="6" t="s">
        <v>69</v>
      </c>
      <c r="G60" s="6" t="s">
        <v>77</v>
      </c>
      <c r="H60" s="8" t="n">
        <v>25</v>
      </c>
      <c r="I60" s="9" t="n">
        <v>4.38</v>
      </c>
      <c r="J60" s="9" t="n">
        <f aca="false">H60*I60</f>
        <v>109.5</v>
      </c>
      <c r="K60" s="6" t="s">
        <v>48</v>
      </c>
      <c r="L60" s="6" t="s">
        <v>56</v>
      </c>
      <c r="M60" s="6" t="s">
        <v>30</v>
      </c>
      <c r="N60" s="6" t="s">
        <v>31</v>
      </c>
      <c r="O60" s="6"/>
      <c r="P60" s="8" t="n">
        <f aca="false">Config!$B$1-B60</f>
        <v>362</v>
      </c>
      <c r="Q60" s="8" t="n">
        <f aca="false">IFERROR(INDEX('Failure Reference'!$C$4:$C$9,MATCH(O60,'Failure Reference'!$A$4:$A$9,0)),0)</f>
        <v>0</v>
      </c>
      <c r="R60" s="8" t="n">
        <f aca="false">IF(N60="Settled",0,Q60+P60*0.5+IFERROR(INDEX(Config!$B$4:$B$7,MATCH(D60,Config!$A$4:$A$7,0)),1)+IF(C60-Config!$B$1&lt;=1,5,0))</f>
        <v>0</v>
      </c>
      <c r="S60" s="10" t="str">
        <f aca="false">IF(R60=0,"Green",IF(R60&lt;10,"Amber","Red"))</f>
        <v>Green</v>
      </c>
      <c r="T60" s="6" t="str">
        <f aca="false">IF(N60="Settled","None",IF(C60-Config!$B$1&lt;=0,"Overdue",IF(C60-Config!$B$1&lt;=1,"Critical",IF(C60-Config!$B$1&lt;=3,"High","Low"))))</f>
        <v>None</v>
      </c>
      <c r="U60" s="8" t="str">
        <f aca="false">IF(R60=0,"",RANK(R60,$R$5:$R$104,0))</f>
        <v/>
      </c>
    </row>
    <row r="61" customFormat="false" ht="15" hidden="false" customHeight="true" outlineLevel="0" collapsed="false">
      <c r="A61" s="6" t="s">
        <v>153</v>
      </c>
      <c r="B61" s="7" t="n">
        <v>45720</v>
      </c>
      <c r="C61" s="7" t="n">
        <v>45721</v>
      </c>
      <c r="D61" s="6" t="s">
        <v>24</v>
      </c>
      <c r="E61" s="6" t="s">
        <v>154</v>
      </c>
      <c r="F61" s="6" t="s">
        <v>155</v>
      </c>
      <c r="G61" s="6" t="s">
        <v>27</v>
      </c>
      <c r="H61" s="8" t="n">
        <v>1000</v>
      </c>
      <c r="I61" s="9" t="n">
        <v>1706.43</v>
      </c>
      <c r="J61" s="9" t="n">
        <f aca="false">H61*I61</f>
        <v>1706430</v>
      </c>
      <c r="K61" s="6" t="s">
        <v>52</v>
      </c>
      <c r="L61" s="6" t="s">
        <v>48</v>
      </c>
      <c r="M61" s="6" t="s">
        <v>30</v>
      </c>
      <c r="N61" s="6" t="s">
        <v>31</v>
      </c>
      <c r="O61" s="6"/>
      <c r="P61" s="8" t="n">
        <f aca="false">Config!$B$1-B61</f>
        <v>461</v>
      </c>
      <c r="Q61" s="8" t="n">
        <f aca="false">IFERROR(INDEX('Failure Reference'!$C$4:$C$9,MATCH(O61,'Failure Reference'!$A$4:$A$9,0)),0)</f>
        <v>0</v>
      </c>
      <c r="R61" s="8" t="n">
        <f aca="false">IF(N61="Settled",0,Q61+P61*0.5+IFERROR(INDEX(Config!$B$4:$B$7,MATCH(D61,Config!$A$4:$A$7,0)),1)+IF(C61-Config!$B$1&lt;=1,5,0))</f>
        <v>0</v>
      </c>
      <c r="S61" s="10" t="str">
        <f aca="false">IF(R61=0,"Green",IF(R61&lt;10,"Amber","Red"))</f>
        <v>Green</v>
      </c>
      <c r="T61" s="6" t="str">
        <f aca="false">IF(N61="Settled","None",IF(C61-Config!$B$1&lt;=0,"Overdue",IF(C61-Config!$B$1&lt;=1,"Critical",IF(C61-Config!$B$1&lt;=3,"High","Low"))))</f>
        <v>None</v>
      </c>
      <c r="U61" s="8" t="str">
        <f aca="false">IF(R61=0,"",RANK(R61,$R$5:$R$104,0))</f>
        <v/>
      </c>
    </row>
    <row r="62" customFormat="false" ht="15" hidden="false" customHeight="true" outlineLevel="0" collapsed="false">
      <c r="A62" s="6" t="s">
        <v>156</v>
      </c>
      <c r="B62" s="7" t="n">
        <v>45714</v>
      </c>
      <c r="C62" s="7" t="n">
        <v>45715</v>
      </c>
      <c r="D62" s="6" t="s">
        <v>86</v>
      </c>
      <c r="E62" s="6" t="s">
        <v>119</v>
      </c>
      <c r="F62" s="6" t="s">
        <v>69</v>
      </c>
      <c r="G62" s="6" t="s">
        <v>27</v>
      </c>
      <c r="H62" s="8" t="n">
        <v>50</v>
      </c>
      <c r="I62" s="9" t="n">
        <v>48251.93</v>
      </c>
      <c r="J62" s="9" t="n">
        <f aca="false">H62*I62</f>
        <v>2412596.5</v>
      </c>
      <c r="K62" s="6" t="s">
        <v>28</v>
      </c>
      <c r="L62" s="6" t="s">
        <v>29</v>
      </c>
      <c r="M62" s="6" t="s">
        <v>30</v>
      </c>
      <c r="N62" s="6" t="s">
        <v>31</v>
      </c>
      <c r="O62" s="6"/>
      <c r="P62" s="8" t="n">
        <f aca="false">Config!$B$1-B62</f>
        <v>467</v>
      </c>
      <c r="Q62" s="8" t="n">
        <f aca="false">IFERROR(INDEX('Failure Reference'!$C$4:$C$9,MATCH(O62,'Failure Reference'!$A$4:$A$9,0)),0)</f>
        <v>0</v>
      </c>
      <c r="R62" s="8" t="n">
        <f aca="false">IF(N62="Settled",0,Q62+P62*0.5+IFERROR(INDEX(Config!$B$4:$B$7,MATCH(D62,Config!$A$4:$A$7,0)),1)+IF(C62-Config!$B$1&lt;=1,5,0))</f>
        <v>0</v>
      </c>
      <c r="S62" s="10" t="str">
        <f aca="false">IF(R62=0,"Green",IF(R62&lt;10,"Amber","Red"))</f>
        <v>Green</v>
      </c>
      <c r="T62" s="6" t="str">
        <f aca="false">IF(N62="Settled","None",IF(C62-Config!$B$1&lt;=0,"Overdue",IF(C62-Config!$B$1&lt;=1,"Critical",IF(C62-Config!$B$1&lt;=3,"High","Low"))))</f>
        <v>None</v>
      </c>
      <c r="U62" s="8" t="str">
        <f aca="false">IF(R62=0,"",RANK(R62,$R$5:$R$104,0))</f>
        <v/>
      </c>
    </row>
    <row r="63" customFormat="false" ht="15" hidden="false" customHeight="true" outlineLevel="0" collapsed="false">
      <c r="A63" s="6" t="s">
        <v>157</v>
      </c>
      <c r="B63" s="7" t="n">
        <v>45721</v>
      </c>
      <c r="C63" s="7" t="n">
        <v>45722</v>
      </c>
      <c r="D63" s="6" t="s">
        <v>37</v>
      </c>
      <c r="E63" s="6" t="s">
        <v>128</v>
      </c>
      <c r="F63" s="6" t="s">
        <v>129</v>
      </c>
      <c r="G63" s="6" t="s">
        <v>27</v>
      </c>
      <c r="H63" s="8" t="n">
        <v>1000</v>
      </c>
      <c r="I63" s="9" t="n">
        <v>101.62</v>
      </c>
      <c r="J63" s="9" t="n">
        <f aca="false">H63*I63</f>
        <v>101620</v>
      </c>
      <c r="K63" s="6" t="s">
        <v>48</v>
      </c>
      <c r="L63" s="6" t="s">
        <v>29</v>
      </c>
      <c r="M63" s="6" t="s">
        <v>30</v>
      </c>
      <c r="N63" s="6" t="s">
        <v>31</v>
      </c>
      <c r="O63" s="6"/>
      <c r="P63" s="8" t="n">
        <f aca="false">Config!$B$1-B63</f>
        <v>460</v>
      </c>
      <c r="Q63" s="8" t="n">
        <f aca="false">IFERROR(INDEX('Failure Reference'!$C$4:$C$9,MATCH(O63,'Failure Reference'!$A$4:$A$9,0)),0)</f>
        <v>0</v>
      </c>
      <c r="R63" s="8" t="n">
        <f aca="false">IF(N63="Settled",0,Q63+P63*0.5+IFERROR(INDEX(Config!$B$4:$B$7,MATCH(D63,Config!$A$4:$A$7,0)),1)+IF(C63-Config!$B$1&lt;=1,5,0))</f>
        <v>0</v>
      </c>
      <c r="S63" s="10" t="str">
        <f aca="false">IF(R63=0,"Green",IF(R63&lt;10,"Amber","Red"))</f>
        <v>Green</v>
      </c>
      <c r="T63" s="6" t="str">
        <f aca="false">IF(N63="Settled","None",IF(C63-Config!$B$1&lt;=0,"Overdue",IF(C63-Config!$B$1&lt;=1,"Critical",IF(C63-Config!$B$1&lt;=3,"High","Low"))))</f>
        <v>None</v>
      </c>
      <c r="U63" s="8" t="str">
        <f aca="false">IF(R63=0,"",RANK(R63,$R$5:$R$104,0))</f>
        <v/>
      </c>
    </row>
    <row r="64" customFormat="false" ht="15" hidden="false" customHeight="true" outlineLevel="0" collapsed="false">
      <c r="A64" s="6" t="s">
        <v>158</v>
      </c>
      <c r="B64" s="7" t="n">
        <v>45801</v>
      </c>
      <c r="C64" s="7" t="n">
        <v>45802</v>
      </c>
      <c r="D64" s="6" t="s">
        <v>67</v>
      </c>
      <c r="E64" s="6" t="s">
        <v>101</v>
      </c>
      <c r="F64" s="6" t="s">
        <v>69</v>
      </c>
      <c r="G64" s="6" t="s">
        <v>77</v>
      </c>
      <c r="H64" s="8" t="n">
        <v>50</v>
      </c>
      <c r="I64" s="9" t="n">
        <v>4.52</v>
      </c>
      <c r="J64" s="9" t="n">
        <f aca="false">H64*I64</f>
        <v>226</v>
      </c>
      <c r="K64" s="6" t="s">
        <v>29</v>
      </c>
      <c r="L64" s="6" t="s">
        <v>57</v>
      </c>
      <c r="M64" s="6" t="s">
        <v>30</v>
      </c>
      <c r="N64" s="6" t="s">
        <v>31</v>
      </c>
      <c r="O64" s="6"/>
      <c r="P64" s="8" t="n">
        <f aca="false">Config!$B$1-B64</f>
        <v>380</v>
      </c>
      <c r="Q64" s="8" t="n">
        <f aca="false">IFERROR(INDEX('Failure Reference'!$C$4:$C$9,MATCH(O64,'Failure Reference'!$A$4:$A$9,0)),0)</f>
        <v>0</v>
      </c>
      <c r="R64" s="8" t="n">
        <f aca="false">IF(N64="Settled",0,Q64+P64*0.5+IFERROR(INDEX(Config!$B$4:$B$7,MATCH(D64,Config!$A$4:$A$7,0)),1)+IF(C64-Config!$B$1&lt;=1,5,0))</f>
        <v>0</v>
      </c>
      <c r="S64" s="10" t="str">
        <f aca="false">IF(R64=0,"Green",IF(R64&lt;10,"Amber","Red"))</f>
        <v>Green</v>
      </c>
      <c r="T64" s="6" t="str">
        <f aca="false">IF(N64="Settled","None",IF(C64-Config!$B$1&lt;=0,"Overdue",IF(C64-Config!$B$1&lt;=1,"Critical",IF(C64-Config!$B$1&lt;=3,"High","Low"))))</f>
        <v>None</v>
      </c>
      <c r="U64" s="8" t="str">
        <f aca="false">IF(R64=0,"",RANK(R64,$R$5:$R$104,0))</f>
        <v/>
      </c>
    </row>
    <row r="65" customFormat="false" ht="15" hidden="false" customHeight="true" outlineLevel="0" collapsed="false">
      <c r="A65" s="6" t="s">
        <v>159</v>
      </c>
      <c r="B65" s="7" t="n">
        <v>45767</v>
      </c>
      <c r="C65" s="7" t="n">
        <v>45768</v>
      </c>
      <c r="D65" s="6" t="s">
        <v>24</v>
      </c>
      <c r="E65" s="6" t="s">
        <v>108</v>
      </c>
      <c r="F65" s="6" t="s">
        <v>109</v>
      </c>
      <c r="G65" s="6" t="s">
        <v>27</v>
      </c>
      <c r="H65" s="8" t="n">
        <v>750</v>
      </c>
      <c r="I65" s="9" t="n">
        <v>472.43</v>
      </c>
      <c r="J65" s="9" t="n">
        <f aca="false">H65*I65</f>
        <v>354322.5</v>
      </c>
      <c r="K65" s="6" t="s">
        <v>62</v>
      </c>
      <c r="L65" s="6" t="s">
        <v>57</v>
      </c>
      <c r="M65" s="6" t="s">
        <v>30</v>
      </c>
      <c r="N65" s="6" t="s">
        <v>31</v>
      </c>
      <c r="O65" s="6"/>
      <c r="P65" s="8" t="n">
        <f aca="false">Config!$B$1-B65</f>
        <v>414</v>
      </c>
      <c r="Q65" s="8" t="n">
        <f aca="false">IFERROR(INDEX('Failure Reference'!$C$4:$C$9,MATCH(O65,'Failure Reference'!$A$4:$A$9,0)),0)</f>
        <v>0</v>
      </c>
      <c r="R65" s="8" t="n">
        <f aca="false">IF(N65="Settled",0,Q65+P65*0.5+IFERROR(INDEX(Config!$B$4:$B$7,MATCH(D65,Config!$A$4:$A$7,0)),1)+IF(C65-Config!$B$1&lt;=1,5,0))</f>
        <v>0</v>
      </c>
      <c r="S65" s="10" t="str">
        <f aca="false">IF(R65=0,"Green",IF(R65&lt;10,"Amber","Red"))</f>
        <v>Green</v>
      </c>
      <c r="T65" s="6" t="str">
        <f aca="false">IF(N65="Settled","None",IF(C65-Config!$B$1&lt;=0,"Overdue",IF(C65-Config!$B$1&lt;=1,"Critical",IF(C65-Config!$B$1&lt;=3,"High","Low"))))</f>
        <v>None</v>
      </c>
      <c r="U65" s="8" t="str">
        <f aca="false">IF(R65=0,"",RANK(R65,$R$5:$R$104,0))</f>
        <v/>
      </c>
    </row>
    <row r="66" customFormat="false" ht="15" hidden="false" customHeight="true" outlineLevel="0" collapsed="false">
      <c r="A66" s="6" t="s">
        <v>160</v>
      </c>
      <c r="B66" s="7" t="n">
        <v>45773</v>
      </c>
      <c r="C66" s="7" t="n">
        <v>45774</v>
      </c>
      <c r="D66" s="6" t="s">
        <v>24</v>
      </c>
      <c r="E66" s="6" t="s">
        <v>80</v>
      </c>
      <c r="F66" s="6" t="s">
        <v>81</v>
      </c>
      <c r="G66" s="6" t="s">
        <v>27</v>
      </c>
      <c r="H66" s="8" t="n">
        <v>1500</v>
      </c>
      <c r="I66" s="9" t="n">
        <v>1091.69</v>
      </c>
      <c r="J66" s="9" t="n">
        <f aca="false">H66*I66</f>
        <v>1637535</v>
      </c>
      <c r="K66" s="6" t="s">
        <v>35</v>
      </c>
      <c r="L66" s="6" t="s">
        <v>29</v>
      </c>
      <c r="M66" s="6" t="s">
        <v>30</v>
      </c>
      <c r="N66" s="6" t="s">
        <v>31</v>
      </c>
      <c r="O66" s="6"/>
      <c r="P66" s="8" t="n">
        <f aca="false">Config!$B$1-B66</f>
        <v>408</v>
      </c>
      <c r="Q66" s="8" t="n">
        <f aca="false">IFERROR(INDEX('Failure Reference'!$C$4:$C$9,MATCH(O66,'Failure Reference'!$A$4:$A$9,0)),0)</f>
        <v>0</v>
      </c>
      <c r="R66" s="8" t="n">
        <f aca="false">IF(N66="Settled",0,Q66+P66*0.5+IFERROR(INDEX(Config!$B$4:$B$7,MATCH(D66,Config!$A$4:$A$7,0)),1)+IF(C66-Config!$B$1&lt;=1,5,0))</f>
        <v>0</v>
      </c>
      <c r="S66" s="10" t="str">
        <f aca="false">IF(R66=0,"Green",IF(R66&lt;10,"Amber","Red"))</f>
        <v>Green</v>
      </c>
      <c r="T66" s="6" t="str">
        <f aca="false">IF(N66="Settled","None",IF(C66-Config!$B$1&lt;=0,"Overdue",IF(C66-Config!$B$1&lt;=1,"Critical",IF(C66-Config!$B$1&lt;=3,"High","Low"))))</f>
        <v>None</v>
      </c>
      <c r="U66" s="8" t="str">
        <f aca="false">IF(R66=0,"",RANK(R66,$R$5:$R$104,0))</f>
        <v/>
      </c>
    </row>
    <row r="67" customFormat="false" ht="15" hidden="false" customHeight="true" outlineLevel="0" collapsed="false">
      <c r="A67" s="6" t="s">
        <v>161</v>
      </c>
      <c r="B67" s="7" t="n">
        <v>45782</v>
      </c>
      <c r="C67" s="7" t="n">
        <v>45783</v>
      </c>
      <c r="D67" s="6" t="s">
        <v>24</v>
      </c>
      <c r="E67" s="6" t="s">
        <v>98</v>
      </c>
      <c r="F67" s="6" t="s">
        <v>99</v>
      </c>
      <c r="G67" s="6" t="s">
        <v>27</v>
      </c>
      <c r="H67" s="8" t="n">
        <v>200</v>
      </c>
      <c r="I67" s="9" t="n">
        <v>6964.4</v>
      </c>
      <c r="J67" s="9" t="n">
        <f aca="false">H67*I67</f>
        <v>1392880</v>
      </c>
      <c r="K67" s="6" t="s">
        <v>52</v>
      </c>
      <c r="L67" s="6" t="s">
        <v>41</v>
      </c>
      <c r="M67" s="6" t="s">
        <v>30</v>
      </c>
      <c r="N67" s="6" t="s">
        <v>31</v>
      </c>
      <c r="O67" s="6"/>
      <c r="P67" s="8" t="n">
        <f aca="false">Config!$B$1-B67</f>
        <v>399</v>
      </c>
      <c r="Q67" s="8" t="n">
        <f aca="false">IFERROR(INDEX('Failure Reference'!$C$4:$C$9,MATCH(O67,'Failure Reference'!$A$4:$A$9,0)),0)</f>
        <v>0</v>
      </c>
      <c r="R67" s="8" t="n">
        <f aca="false">IF(N67="Settled",0,Q67+P67*0.5+IFERROR(INDEX(Config!$B$4:$B$7,MATCH(D67,Config!$A$4:$A$7,0)),1)+IF(C67-Config!$B$1&lt;=1,5,0))</f>
        <v>0</v>
      </c>
      <c r="S67" s="10" t="str">
        <f aca="false">IF(R67=0,"Green",IF(R67&lt;10,"Amber","Red"))</f>
        <v>Green</v>
      </c>
      <c r="T67" s="6" t="str">
        <f aca="false">IF(N67="Settled","None",IF(C67-Config!$B$1&lt;=0,"Overdue",IF(C67-Config!$B$1&lt;=1,"Critical",IF(C67-Config!$B$1&lt;=3,"High","Low"))))</f>
        <v>None</v>
      </c>
      <c r="U67" s="8" t="str">
        <f aca="false">IF(R67=0,"",RANK(R67,$R$5:$R$104,0))</f>
        <v/>
      </c>
    </row>
    <row r="68" customFormat="false" ht="15" hidden="false" customHeight="true" outlineLevel="0" collapsed="false">
      <c r="A68" s="6" t="s">
        <v>162</v>
      </c>
      <c r="B68" s="7" t="n">
        <v>45718</v>
      </c>
      <c r="C68" s="7" t="n">
        <v>45719</v>
      </c>
      <c r="D68" s="6" t="s">
        <v>37</v>
      </c>
      <c r="E68" s="6" t="s">
        <v>64</v>
      </c>
      <c r="F68" s="6" t="s">
        <v>65</v>
      </c>
      <c r="G68" s="6" t="s">
        <v>27</v>
      </c>
      <c r="H68" s="8" t="n">
        <v>5000</v>
      </c>
      <c r="I68" s="9" t="n">
        <v>100.02</v>
      </c>
      <c r="J68" s="9" t="n">
        <f aca="false">H68*I68</f>
        <v>500100</v>
      </c>
      <c r="K68" s="6" t="s">
        <v>57</v>
      </c>
      <c r="L68" s="6" t="s">
        <v>52</v>
      </c>
      <c r="M68" s="6" t="s">
        <v>30</v>
      </c>
      <c r="N68" s="6" t="s">
        <v>31</v>
      </c>
      <c r="O68" s="6"/>
      <c r="P68" s="8" t="n">
        <f aca="false">Config!$B$1-B68</f>
        <v>463</v>
      </c>
      <c r="Q68" s="8" t="n">
        <f aca="false">IFERROR(INDEX('Failure Reference'!$C$4:$C$9,MATCH(O68,'Failure Reference'!$A$4:$A$9,0)),0)</f>
        <v>0</v>
      </c>
      <c r="R68" s="8" t="n">
        <f aca="false">IF(N68="Settled",0,Q68+P68*0.5+IFERROR(INDEX(Config!$B$4:$B$7,MATCH(D68,Config!$A$4:$A$7,0)),1)+IF(C68-Config!$B$1&lt;=1,5,0))</f>
        <v>0</v>
      </c>
      <c r="S68" s="10" t="str">
        <f aca="false">IF(R68=0,"Green",IF(R68&lt;10,"Amber","Red"))</f>
        <v>Green</v>
      </c>
      <c r="T68" s="6" t="str">
        <f aca="false">IF(N68="Settled","None",IF(C68-Config!$B$1&lt;=0,"Overdue",IF(C68-Config!$B$1&lt;=1,"Critical",IF(C68-Config!$B$1&lt;=3,"High","Low"))))</f>
        <v>None</v>
      </c>
      <c r="U68" s="8" t="str">
        <f aca="false">IF(R68=0,"",RANK(R68,$R$5:$R$104,0))</f>
        <v/>
      </c>
    </row>
    <row r="69" customFormat="false" ht="15" hidden="false" customHeight="true" outlineLevel="0" collapsed="false">
      <c r="A69" s="6" t="s">
        <v>163</v>
      </c>
      <c r="B69" s="7" t="n">
        <v>45693</v>
      </c>
      <c r="C69" s="7" t="n">
        <v>45694</v>
      </c>
      <c r="D69" s="6" t="s">
        <v>24</v>
      </c>
      <c r="E69" s="6" t="s">
        <v>154</v>
      </c>
      <c r="F69" s="6" t="s">
        <v>155</v>
      </c>
      <c r="G69" s="6" t="s">
        <v>27</v>
      </c>
      <c r="H69" s="8" t="n">
        <v>200</v>
      </c>
      <c r="I69" s="9" t="n">
        <v>1655.41</v>
      </c>
      <c r="J69" s="9" t="n">
        <f aca="false">H69*I69</f>
        <v>331082</v>
      </c>
      <c r="K69" s="6" t="s">
        <v>62</v>
      </c>
      <c r="L69" s="6" t="s">
        <v>35</v>
      </c>
      <c r="M69" s="6" t="s">
        <v>164</v>
      </c>
      <c r="N69" s="6" t="s">
        <v>71</v>
      </c>
      <c r="O69" s="6"/>
      <c r="P69" s="8" t="n">
        <f aca="false">Config!$B$1-B69</f>
        <v>488</v>
      </c>
      <c r="Q69" s="8" t="n">
        <f aca="false">IFERROR(INDEX('Failure Reference'!$C$4:$C$9,MATCH(O69,'Failure Reference'!$A$4:$A$9,0)),0)</f>
        <v>0</v>
      </c>
      <c r="R69" s="8" t="n">
        <f aca="false">IF(N69="Settled",0,Q69+P69*0.5+IFERROR(INDEX(Config!$B$4:$B$7,MATCH(D69,Config!$A$4:$A$7,0)),1)+IF(C69-Config!$B$1&lt;=1,5,0))</f>
        <v>250</v>
      </c>
      <c r="S69" s="10" t="str">
        <f aca="false">IF(R69=0,"Green",IF(R69&lt;10,"Amber","Red"))</f>
        <v>Red</v>
      </c>
      <c r="T69" s="6" t="str">
        <f aca="false">IF(N69="Settled","None",IF(C69-Config!$B$1&lt;=0,"Overdue",IF(C69-Config!$B$1&lt;=1,"Critical",IF(C69-Config!$B$1&lt;=3,"High","Low"))))</f>
        <v>Overdue</v>
      </c>
      <c r="U69" s="8" t="n">
        <f aca="false">IF(R69=0,"",RANK(R69,$R$5:$R$104,0))</f>
        <v>9</v>
      </c>
    </row>
    <row r="70" customFormat="false" ht="15" hidden="false" customHeight="true" outlineLevel="0" collapsed="false">
      <c r="A70" s="6" t="s">
        <v>165</v>
      </c>
      <c r="B70" s="7" t="n">
        <v>45764</v>
      </c>
      <c r="C70" s="7" t="n">
        <v>45765</v>
      </c>
      <c r="D70" s="6" t="s">
        <v>67</v>
      </c>
      <c r="E70" s="6" t="s">
        <v>76</v>
      </c>
      <c r="F70" s="6" t="s">
        <v>69</v>
      </c>
      <c r="G70" s="6" t="s">
        <v>77</v>
      </c>
      <c r="H70" s="8" t="n">
        <v>50</v>
      </c>
      <c r="I70" s="9" t="n">
        <v>2.87</v>
      </c>
      <c r="J70" s="9" t="n">
        <f aca="false">H70*I70</f>
        <v>143.5</v>
      </c>
      <c r="K70" s="6" t="s">
        <v>28</v>
      </c>
      <c r="L70" s="6" t="s">
        <v>35</v>
      </c>
      <c r="M70" s="6" t="s">
        <v>30</v>
      </c>
      <c r="N70" s="6" t="s">
        <v>31</v>
      </c>
      <c r="O70" s="6"/>
      <c r="P70" s="8" t="n">
        <f aca="false">Config!$B$1-B70</f>
        <v>417</v>
      </c>
      <c r="Q70" s="8" t="n">
        <f aca="false">IFERROR(INDEX('Failure Reference'!$C$4:$C$9,MATCH(O70,'Failure Reference'!$A$4:$A$9,0)),0)</f>
        <v>0</v>
      </c>
      <c r="R70" s="8" t="n">
        <f aca="false">IF(N70="Settled",0,Q70+P70*0.5+IFERROR(INDEX(Config!$B$4:$B$7,MATCH(D70,Config!$A$4:$A$7,0)),1)+IF(C70-Config!$B$1&lt;=1,5,0))</f>
        <v>0</v>
      </c>
      <c r="S70" s="10" t="str">
        <f aca="false">IF(R70=0,"Green",IF(R70&lt;10,"Amber","Red"))</f>
        <v>Green</v>
      </c>
      <c r="T70" s="6" t="str">
        <f aca="false">IF(N70="Settled","None",IF(C70-Config!$B$1&lt;=0,"Overdue",IF(C70-Config!$B$1&lt;=1,"Critical",IF(C70-Config!$B$1&lt;=3,"High","Low"))))</f>
        <v>None</v>
      </c>
      <c r="U70" s="8" t="str">
        <f aca="false">IF(R70=0,"",RANK(R70,$R$5:$R$104,0))</f>
        <v/>
      </c>
    </row>
    <row r="71" customFormat="false" ht="15" hidden="false" customHeight="true" outlineLevel="0" collapsed="false">
      <c r="A71" s="6" t="s">
        <v>166</v>
      </c>
      <c r="B71" s="7" t="n">
        <v>45765</v>
      </c>
      <c r="C71" s="7" t="n">
        <v>45766</v>
      </c>
      <c r="D71" s="6" t="s">
        <v>37</v>
      </c>
      <c r="E71" s="6" t="s">
        <v>46</v>
      </c>
      <c r="F71" s="6" t="s">
        <v>47</v>
      </c>
      <c r="G71" s="6" t="s">
        <v>27</v>
      </c>
      <c r="H71" s="8" t="n">
        <v>25000</v>
      </c>
      <c r="I71" s="9" t="n">
        <v>101.28</v>
      </c>
      <c r="J71" s="9" t="n">
        <f aca="false">H71*I71</f>
        <v>2532000</v>
      </c>
      <c r="K71" s="6" t="s">
        <v>28</v>
      </c>
      <c r="L71" s="6" t="s">
        <v>48</v>
      </c>
      <c r="M71" s="6" t="s">
        <v>167</v>
      </c>
      <c r="N71" s="6" t="s">
        <v>71</v>
      </c>
      <c r="O71" s="6"/>
      <c r="P71" s="8" t="n">
        <f aca="false">Config!$B$1-B71</f>
        <v>416</v>
      </c>
      <c r="Q71" s="8" t="n">
        <f aca="false">IFERROR(INDEX('Failure Reference'!$C$4:$C$9,MATCH(O71,'Failure Reference'!$A$4:$A$9,0)),0)</f>
        <v>0</v>
      </c>
      <c r="R71" s="8" t="n">
        <f aca="false">IF(N71="Settled",0,Q71+P71*0.5+IFERROR(INDEX(Config!$B$4:$B$7,MATCH(D71,Config!$A$4:$A$7,0)),1)+IF(C71-Config!$B$1&lt;=1,5,0))</f>
        <v>214.5</v>
      </c>
      <c r="S71" s="10" t="str">
        <f aca="false">IF(R71=0,"Green",IF(R71&lt;10,"Amber","Red"))</f>
        <v>Red</v>
      </c>
      <c r="T71" s="6" t="str">
        <f aca="false">IF(N71="Settled","None",IF(C71-Config!$B$1&lt;=0,"Overdue",IF(C71-Config!$B$1&lt;=1,"Critical",IF(C71-Config!$B$1&lt;=3,"High","Low"))))</f>
        <v>Overdue</v>
      </c>
      <c r="U71" s="8" t="n">
        <f aca="false">IF(R71=0,"",RANK(R71,$R$5:$R$104,0))</f>
        <v>20</v>
      </c>
    </row>
    <row r="72" customFormat="false" ht="15" hidden="false" customHeight="true" outlineLevel="0" collapsed="false">
      <c r="A72" s="6" t="s">
        <v>168</v>
      </c>
      <c r="B72" s="7" t="n">
        <v>45659</v>
      </c>
      <c r="C72" s="7" t="n">
        <v>45660</v>
      </c>
      <c r="D72" s="6" t="s">
        <v>24</v>
      </c>
      <c r="E72" s="6" t="s">
        <v>169</v>
      </c>
      <c r="F72" s="6" t="s">
        <v>170</v>
      </c>
      <c r="G72" s="6" t="s">
        <v>27</v>
      </c>
      <c r="H72" s="8" t="n">
        <v>300</v>
      </c>
      <c r="I72" s="9" t="n">
        <v>779.26</v>
      </c>
      <c r="J72" s="9" t="n">
        <f aca="false">H72*I72</f>
        <v>233778</v>
      </c>
      <c r="K72" s="6" t="s">
        <v>56</v>
      </c>
      <c r="L72" s="6" t="s">
        <v>29</v>
      </c>
      <c r="M72" s="6" t="s">
        <v>30</v>
      </c>
      <c r="N72" s="6" t="s">
        <v>31</v>
      </c>
      <c r="O72" s="6"/>
      <c r="P72" s="8" t="n">
        <f aca="false">Config!$B$1-B72</f>
        <v>522</v>
      </c>
      <c r="Q72" s="8" t="n">
        <f aca="false">IFERROR(INDEX('Failure Reference'!$C$4:$C$9,MATCH(O72,'Failure Reference'!$A$4:$A$9,0)),0)</f>
        <v>0</v>
      </c>
      <c r="R72" s="8" t="n">
        <f aca="false">IF(N72="Settled",0,Q72+P72*0.5+IFERROR(INDEX(Config!$B$4:$B$7,MATCH(D72,Config!$A$4:$A$7,0)),1)+IF(C72-Config!$B$1&lt;=1,5,0))</f>
        <v>0</v>
      </c>
      <c r="S72" s="10" t="str">
        <f aca="false">IF(R72=0,"Green",IF(R72&lt;10,"Amber","Red"))</f>
        <v>Green</v>
      </c>
      <c r="T72" s="6" t="str">
        <f aca="false">IF(N72="Settled","None",IF(C72-Config!$B$1&lt;=0,"Overdue",IF(C72-Config!$B$1&lt;=1,"Critical",IF(C72-Config!$B$1&lt;=3,"High","Low"))))</f>
        <v>None</v>
      </c>
      <c r="U72" s="8" t="str">
        <f aca="false">IF(R72=0,"",RANK(R72,$R$5:$R$104,0))</f>
        <v/>
      </c>
    </row>
    <row r="73" customFormat="false" ht="15" hidden="false" customHeight="true" outlineLevel="0" collapsed="false">
      <c r="A73" s="6" t="s">
        <v>171</v>
      </c>
      <c r="B73" s="7" t="n">
        <v>45797</v>
      </c>
      <c r="C73" s="7" t="n">
        <v>45798</v>
      </c>
      <c r="D73" s="6" t="s">
        <v>86</v>
      </c>
      <c r="E73" s="6" t="s">
        <v>87</v>
      </c>
      <c r="F73" s="6" t="s">
        <v>69</v>
      </c>
      <c r="G73" s="6" t="s">
        <v>27</v>
      </c>
      <c r="H73" s="8" t="n">
        <v>2</v>
      </c>
      <c r="I73" s="9" t="n">
        <v>90.19</v>
      </c>
      <c r="J73" s="9" t="n">
        <f aca="false">H73*I73</f>
        <v>180.38</v>
      </c>
      <c r="K73" s="6" t="s">
        <v>35</v>
      </c>
      <c r="L73" s="6" t="s">
        <v>48</v>
      </c>
      <c r="M73" s="6" t="s">
        <v>95</v>
      </c>
      <c r="N73" s="6" t="s">
        <v>43</v>
      </c>
      <c r="O73" s="6" t="s">
        <v>172</v>
      </c>
      <c r="P73" s="8" t="n">
        <f aca="false">Config!$B$1-B73</f>
        <v>384</v>
      </c>
      <c r="Q73" s="8" t="n">
        <f aca="false">IFERROR(INDEX('Failure Reference'!$C$4:$C$9,MATCH(O73,'Failure Reference'!$A$4:$A$9,0)),0)</f>
        <v>6</v>
      </c>
      <c r="R73" s="8" t="n">
        <f aca="false">IF(N73="Settled",0,Q73+P73*0.5+IFERROR(INDEX(Config!$B$4:$B$7,MATCH(D73,Config!$A$4:$A$7,0)),1)+IF(C73-Config!$B$1&lt;=1,5,0))</f>
        <v>205</v>
      </c>
      <c r="S73" s="10" t="str">
        <f aca="false">IF(R73=0,"Green",IF(R73&lt;10,"Amber","Red"))</f>
        <v>Red</v>
      </c>
      <c r="T73" s="6" t="str">
        <f aca="false">IF(N73="Settled","None",IF(C73-Config!$B$1&lt;=0,"Overdue",IF(C73-Config!$B$1&lt;=1,"Critical",IF(C73-Config!$B$1&lt;=3,"High","Low"))))</f>
        <v>Overdue</v>
      </c>
      <c r="U73" s="8" t="n">
        <f aca="false">IF(R73=0,"",RANK(R73,$R$5:$R$104,0))</f>
        <v>21</v>
      </c>
    </row>
    <row r="74" customFormat="false" ht="15" hidden="false" customHeight="true" outlineLevel="0" collapsed="false">
      <c r="A74" s="6" t="s">
        <v>173</v>
      </c>
      <c r="B74" s="7" t="n">
        <v>45782</v>
      </c>
      <c r="C74" s="7" t="n">
        <v>45783</v>
      </c>
      <c r="D74" s="6" t="s">
        <v>24</v>
      </c>
      <c r="E74" s="6" t="s">
        <v>136</v>
      </c>
      <c r="F74" s="6" t="s">
        <v>137</v>
      </c>
      <c r="G74" s="6" t="s">
        <v>27</v>
      </c>
      <c r="H74" s="8" t="n">
        <v>500</v>
      </c>
      <c r="I74" s="9" t="n">
        <v>2803.3</v>
      </c>
      <c r="J74" s="9" t="n">
        <f aca="false">H74*I74</f>
        <v>1401650</v>
      </c>
      <c r="K74" s="6" t="s">
        <v>56</v>
      </c>
      <c r="L74" s="6" t="s">
        <v>62</v>
      </c>
      <c r="M74" s="6" t="s">
        <v>30</v>
      </c>
      <c r="N74" s="6" t="s">
        <v>31</v>
      </c>
      <c r="O74" s="6"/>
      <c r="P74" s="8" t="n">
        <f aca="false">Config!$B$1-B74</f>
        <v>399</v>
      </c>
      <c r="Q74" s="8" t="n">
        <f aca="false">IFERROR(INDEX('Failure Reference'!$C$4:$C$9,MATCH(O74,'Failure Reference'!$A$4:$A$9,0)),0)</f>
        <v>0</v>
      </c>
      <c r="R74" s="8" t="n">
        <f aca="false">IF(N74="Settled",0,Q74+P74*0.5+IFERROR(INDEX(Config!$B$4:$B$7,MATCH(D74,Config!$A$4:$A$7,0)),1)+IF(C74-Config!$B$1&lt;=1,5,0))</f>
        <v>0</v>
      </c>
      <c r="S74" s="10" t="str">
        <f aca="false">IF(R74=0,"Green",IF(R74&lt;10,"Amber","Red"))</f>
        <v>Green</v>
      </c>
      <c r="T74" s="6" t="str">
        <f aca="false">IF(N74="Settled","None",IF(C74-Config!$B$1&lt;=0,"Overdue",IF(C74-Config!$B$1&lt;=1,"Critical",IF(C74-Config!$B$1&lt;=3,"High","Low"))))</f>
        <v>None</v>
      </c>
      <c r="U74" s="8" t="str">
        <f aca="false">IF(R74=0,"",RANK(R74,$R$5:$R$104,0))</f>
        <v/>
      </c>
    </row>
    <row r="75" customFormat="false" ht="15" hidden="false" customHeight="true" outlineLevel="0" collapsed="false">
      <c r="A75" s="6" t="s">
        <v>174</v>
      </c>
      <c r="B75" s="7" t="n">
        <v>45777</v>
      </c>
      <c r="C75" s="7" t="n">
        <v>45778</v>
      </c>
      <c r="D75" s="6" t="s">
        <v>86</v>
      </c>
      <c r="E75" s="6" t="s">
        <v>119</v>
      </c>
      <c r="F75" s="6" t="s">
        <v>69</v>
      </c>
      <c r="G75" s="6" t="s">
        <v>27</v>
      </c>
      <c r="H75" s="8" t="n">
        <v>20</v>
      </c>
      <c r="I75" s="9" t="n">
        <v>48298.69</v>
      </c>
      <c r="J75" s="9" t="n">
        <f aca="false">H75*I75</f>
        <v>965973.8</v>
      </c>
      <c r="K75" s="6" t="s">
        <v>56</v>
      </c>
      <c r="L75" s="6" t="s">
        <v>28</v>
      </c>
      <c r="M75" s="6" t="s">
        <v>30</v>
      </c>
      <c r="N75" s="6" t="s">
        <v>31</v>
      </c>
      <c r="O75" s="6"/>
      <c r="P75" s="8" t="n">
        <f aca="false">Config!$B$1-B75</f>
        <v>404</v>
      </c>
      <c r="Q75" s="8" t="n">
        <f aca="false">IFERROR(INDEX('Failure Reference'!$C$4:$C$9,MATCH(O75,'Failure Reference'!$A$4:$A$9,0)),0)</f>
        <v>0</v>
      </c>
      <c r="R75" s="8" t="n">
        <f aca="false">IF(N75="Settled",0,Q75+P75*0.5+IFERROR(INDEX(Config!$B$4:$B$7,MATCH(D75,Config!$A$4:$A$7,0)),1)+IF(C75-Config!$B$1&lt;=1,5,0))</f>
        <v>0</v>
      </c>
      <c r="S75" s="10" t="str">
        <f aca="false">IF(R75=0,"Green",IF(R75&lt;10,"Amber","Red"))</f>
        <v>Green</v>
      </c>
      <c r="T75" s="6" t="str">
        <f aca="false">IF(N75="Settled","None",IF(C75-Config!$B$1&lt;=0,"Overdue",IF(C75-Config!$B$1&lt;=1,"Critical",IF(C75-Config!$B$1&lt;=3,"High","Low"))))</f>
        <v>None</v>
      </c>
      <c r="U75" s="8" t="str">
        <f aca="false">IF(R75=0,"",RANK(R75,$R$5:$R$104,0))</f>
        <v/>
      </c>
    </row>
    <row r="76" customFormat="false" ht="15" hidden="false" customHeight="true" outlineLevel="0" collapsed="false">
      <c r="A76" s="6" t="s">
        <v>175</v>
      </c>
      <c r="B76" s="7" t="n">
        <v>45679</v>
      </c>
      <c r="C76" s="7" t="n">
        <v>45680</v>
      </c>
      <c r="D76" s="6" t="s">
        <v>24</v>
      </c>
      <c r="E76" s="6" t="s">
        <v>98</v>
      </c>
      <c r="F76" s="6" t="s">
        <v>99</v>
      </c>
      <c r="G76" s="6" t="s">
        <v>27</v>
      </c>
      <c r="H76" s="8" t="n">
        <v>500</v>
      </c>
      <c r="I76" s="9" t="n">
        <v>6865.44</v>
      </c>
      <c r="J76" s="9" t="n">
        <f aca="false">H76*I76</f>
        <v>3432720</v>
      </c>
      <c r="K76" s="6" t="s">
        <v>48</v>
      </c>
      <c r="L76" s="6" t="s">
        <v>62</v>
      </c>
      <c r="M76" s="6" t="s">
        <v>164</v>
      </c>
      <c r="N76" s="6" t="s">
        <v>43</v>
      </c>
      <c r="O76" s="6" t="s">
        <v>176</v>
      </c>
      <c r="P76" s="8" t="n">
        <f aca="false">Config!$B$1-B76</f>
        <v>502</v>
      </c>
      <c r="Q76" s="8" t="n">
        <f aca="false">IFERROR(INDEX('Failure Reference'!$C$4:$C$9,MATCH(O76,'Failure Reference'!$A$4:$A$9,0)),0)</f>
        <v>5</v>
      </c>
      <c r="R76" s="8" t="n">
        <f aca="false">IF(N76="Settled",0,Q76+P76*0.5+IFERROR(INDEX(Config!$B$4:$B$7,MATCH(D76,Config!$A$4:$A$7,0)),1)+IF(C76-Config!$B$1&lt;=1,5,0))</f>
        <v>262</v>
      </c>
      <c r="S76" s="10" t="str">
        <f aca="false">IF(R76=0,"Green",IF(R76&lt;10,"Amber","Red"))</f>
        <v>Red</v>
      </c>
      <c r="T76" s="6" t="str">
        <f aca="false">IF(N76="Settled","None",IF(C76-Config!$B$1&lt;=0,"Overdue",IF(C76-Config!$B$1&lt;=1,"Critical",IF(C76-Config!$B$1&lt;=3,"High","Low"))))</f>
        <v>Overdue</v>
      </c>
      <c r="U76" s="8" t="n">
        <f aca="false">IF(R76=0,"",RANK(R76,$R$5:$R$104,0))</f>
        <v>3</v>
      </c>
    </row>
    <row r="77" customFormat="false" ht="15" hidden="false" customHeight="true" outlineLevel="0" collapsed="false">
      <c r="A77" s="6" t="s">
        <v>177</v>
      </c>
      <c r="B77" s="7" t="n">
        <v>45670</v>
      </c>
      <c r="C77" s="7" t="n">
        <v>45671</v>
      </c>
      <c r="D77" s="6" t="s">
        <v>86</v>
      </c>
      <c r="E77" s="6" t="s">
        <v>150</v>
      </c>
      <c r="F77" s="6" t="s">
        <v>69</v>
      </c>
      <c r="G77" s="6" t="s">
        <v>27</v>
      </c>
      <c r="H77" s="8" t="n">
        <v>10</v>
      </c>
      <c r="I77" s="9" t="n">
        <v>2820.48</v>
      </c>
      <c r="J77" s="9" t="n">
        <f aca="false">H77*I77</f>
        <v>28204.8</v>
      </c>
      <c r="K77" s="6" t="s">
        <v>48</v>
      </c>
      <c r="L77" s="6" t="s">
        <v>41</v>
      </c>
      <c r="M77" s="6" t="s">
        <v>30</v>
      </c>
      <c r="N77" s="6" t="s">
        <v>31</v>
      </c>
      <c r="O77" s="6"/>
      <c r="P77" s="8" t="n">
        <f aca="false">Config!$B$1-B77</f>
        <v>511</v>
      </c>
      <c r="Q77" s="8" t="n">
        <f aca="false">IFERROR(INDEX('Failure Reference'!$C$4:$C$9,MATCH(O77,'Failure Reference'!$A$4:$A$9,0)),0)</f>
        <v>0</v>
      </c>
      <c r="R77" s="8" t="n">
        <f aca="false">IF(N77="Settled",0,Q77+P77*0.5+IFERROR(INDEX(Config!$B$4:$B$7,MATCH(D77,Config!$A$4:$A$7,0)),1)+IF(C77-Config!$B$1&lt;=1,5,0))</f>
        <v>0</v>
      </c>
      <c r="S77" s="10" t="str">
        <f aca="false">IF(R77=0,"Green",IF(R77&lt;10,"Amber","Red"))</f>
        <v>Green</v>
      </c>
      <c r="T77" s="6" t="str">
        <f aca="false">IF(N77="Settled","None",IF(C77-Config!$B$1&lt;=0,"Overdue",IF(C77-Config!$B$1&lt;=1,"Critical",IF(C77-Config!$B$1&lt;=3,"High","Low"))))</f>
        <v>None</v>
      </c>
      <c r="U77" s="8" t="str">
        <f aca="false">IF(R77=0,"",RANK(R77,$R$5:$R$104,0))</f>
        <v/>
      </c>
    </row>
    <row r="78" customFormat="false" ht="15" hidden="false" customHeight="true" outlineLevel="0" collapsed="false">
      <c r="A78" s="6" t="s">
        <v>178</v>
      </c>
      <c r="B78" s="7" t="n">
        <v>45744</v>
      </c>
      <c r="C78" s="7" t="n">
        <v>45745</v>
      </c>
      <c r="D78" s="6" t="s">
        <v>37</v>
      </c>
      <c r="E78" s="6" t="s">
        <v>128</v>
      </c>
      <c r="F78" s="6" t="s">
        <v>129</v>
      </c>
      <c r="G78" s="6" t="s">
        <v>27</v>
      </c>
      <c r="H78" s="8" t="n">
        <v>10000</v>
      </c>
      <c r="I78" s="9" t="n">
        <v>100.9</v>
      </c>
      <c r="J78" s="9" t="n">
        <f aca="false">H78*I78</f>
        <v>1009000</v>
      </c>
      <c r="K78" s="6" t="s">
        <v>56</v>
      </c>
      <c r="L78" s="6" t="s">
        <v>35</v>
      </c>
      <c r="M78" s="6" t="s">
        <v>30</v>
      </c>
      <c r="N78" s="6" t="s">
        <v>43</v>
      </c>
      <c r="O78" s="6" t="s">
        <v>179</v>
      </c>
      <c r="P78" s="8" t="n">
        <f aca="false">Config!$B$1-B78</f>
        <v>437</v>
      </c>
      <c r="Q78" s="8" t="n">
        <f aca="false">IFERROR(INDEX('Failure Reference'!$C$4:$C$9,MATCH(O78,'Failure Reference'!$A$4:$A$9,0)),0)</f>
        <v>4</v>
      </c>
      <c r="R78" s="8" t="n">
        <f aca="false">IF(N78="Settled",0,Q78+P78*0.5+IFERROR(INDEX(Config!$B$4:$B$7,MATCH(D78,Config!$A$4:$A$7,0)),1)+IF(C78-Config!$B$1&lt;=1,5,0))</f>
        <v>229</v>
      </c>
      <c r="S78" s="10" t="str">
        <f aca="false">IF(R78=0,"Green",IF(R78&lt;10,"Amber","Red"))</f>
        <v>Red</v>
      </c>
      <c r="T78" s="6" t="str">
        <f aca="false">IF(N78="Settled","None",IF(C78-Config!$B$1&lt;=0,"Overdue",IF(C78-Config!$B$1&lt;=1,"Critical",IF(C78-Config!$B$1&lt;=3,"High","Low"))))</f>
        <v>Overdue</v>
      </c>
      <c r="U78" s="8" t="n">
        <f aca="false">IF(R78=0,"",RANK(R78,$R$5:$R$104,0))</f>
        <v>15</v>
      </c>
    </row>
    <row r="79" customFormat="false" ht="15" hidden="false" customHeight="true" outlineLevel="0" collapsed="false">
      <c r="A79" s="6" t="s">
        <v>180</v>
      </c>
      <c r="B79" s="7" t="n">
        <v>45678</v>
      </c>
      <c r="C79" s="7" t="n">
        <v>45679</v>
      </c>
      <c r="D79" s="6" t="s">
        <v>37</v>
      </c>
      <c r="E79" s="6" t="s">
        <v>46</v>
      </c>
      <c r="F79" s="6" t="s">
        <v>47</v>
      </c>
      <c r="G79" s="6" t="s">
        <v>27</v>
      </c>
      <c r="H79" s="8" t="n">
        <v>1000</v>
      </c>
      <c r="I79" s="9" t="n">
        <v>100.49</v>
      </c>
      <c r="J79" s="9" t="n">
        <f aca="false">H79*I79</f>
        <v>100490</v>
      </c>
      <c r="K79" s="6" t="s">
        <v>28</v>
      </c>
      <c r="L79" s="6" t="s">
        <v>56</v>
      </c>
      <c r="M79" s="6" t="s">
        <v>30</v>
      </c>
      <c r="N79" s="6" t="s">
        <v>31</v>
      </c>
      <c r="O79" s="6"/>
      <c r="P79" s="8" t="n">
        <f aca="false">Config!$B$1-B79</f>
        <v>503</v>
      </c>
      <c r="Q79" s="8" t="n">
        <f aca="false">IFERROR(INDEX('Failure Reference'!$C$4:$C$9,MATCH(O79,'Failure Reference'!$A$4:$A$9,0)),0)</f>
        <v>0</v>
      </c>
      <c r="R79" s="8" t="n">
        <f aca="false">IF(N79="Settled",0,Q79+P79*0.5+IFERROR(INDEX(Config!$B$4:$B$7,MATCH(D79,Config!$A$4:$A$7,0)),1)+IF(C79-Config!$B$1&lt;=1,5,0))</f>
        <v>0</v>
      </c>
      <c r="S79" s="10" t="str">
        <f aca="false">IF(R79=0,"Green",IF(R79&lt;10,"Amber","Red"))</f>
        <v>Green</v>
      </c>
      <c r="T79" s="6" t="str">
        <f aca="false">IF(N79="Settled","None",IF(C79-Config!$B$1&lt;=0,"Overdue",IF(C79-Config!$B$1&lt;=1,"Critical",IF(C79-Config!$B$1&lt;=3,"High","Low"))))</f>
        <v>None</v>
      </c>
      <c r="U79" s="8" t="str">
        <f aca="false">IF(R79=0,"",RANK(R79,$R$5:$R$104,0))</f>
        <v/>
      </c>
    </row>
    <row r="80" customFormat="false" ht="15" hidden="false" customHeight="true" outlineLevel="0" collapsed="false">
      <c r="A80" s="6" t="s">
        <v>181</v>
      </c>
      <c r="B80" s="7" t="n">
        <v>45715</v>
      </c>
      <c r="C80" s="7" t="n">
        <v>45716</v>
      </c>
      <c r="D80" s="6" t="s">
        <v>37</v>
      </c>
      <c r="E80" s="6" t="s">
        <v>54</v>
      </c>
      <c r="F80" s="6" t="s">
        <v>55</v>
      </c>
      <c r="G80" s="6" t="s">
        <v>27</v>
      </c>
      <c r="H80" s="8" t="n">
        <v>1000</v>
      </c>
      <c r="I80" s="9" t="n">
        <v>103.45</v>
      </c>
      <c r="J80" s="9" t="n">
        <f aca="false">H80*I80</f>
        <v>103450</v>
      </c>
      <c r="K80" s="6" t="s">
        <v>28</v>
      </c>
      <c r="L80" s="6" t="s">
        <v>52</v>
      </c>
      <c r="M80" s="6" t="s">
        <v>70</v>
      </c>
      <c r="N80" s="6" t="s">
        <v>71</v>
      </c>
      <c r="O80" s="6"/>
      <c r="P80" s="8" t="n">
        <f aca="false">Config!$B$1-B80</f>
        <v>466</v>
      </c>
      <c r="Q80" s="8" t="n">
        <f aca="false">IFERROR(INDEX('Failure Reference'!$C$4:$C$9,MATCH(O80,'Failure Reference'!$A$4:$A$9,0)),0)</f>
        <v>0</v>
      </c>
      <c r="R80" s="8" t="n">
        <f aca="false">IF(N80="Settled",0,Q80+P80*0.5+IFERROR(INDEX(Config!$B$4:$B$7,MATCH(D80,Config!$A$4:$A$7,0)),1)+IF(C80-Config!$B$1&lt;=1,5,0))</f>
        <v>239.5</v>
      </c>
      <c r="S80" s="10" t="str">
        <f aca="false">IF(R80=0,"Green",IF(R80&lt;10,"Amber","Red"))</f>
        <v>Red</v>
      </c>
      <c r="T80" s="6" t="str">
        <f aca="false">IF(N80="Settled","None",IF(C80-Config!$B$1&lt;=0,"Overdue",IF(C80-Config!$B$1&lt;=1,"Critical",IF(C80-Config!$B$1&lt;=3,"High","Low"))))</f>
        <v>Overdue</v>
      </c>
      <c r="U80" s="8" t="n">
        <f aca="false">IF(R80=0,"",RANK(R80,$R$5:$R$104,0))</f>
        <v>11</v>
      </c>
    </row>
    <row r="81" customFormat="false" ht="15" hidden="false" customHeight="true" outlineLevel="0" collapsed="false">
      <c r="A81" s="6" t="s">
        <v>182</v>
      </c>
      <c r="B81" s="7" t="n">
        <v>45709</v>
      </c>
      <c r="C81" s="7" t="n">
        <v>45710</v>
      </c>
      <c r="D81" s="6" t="s">
        <v>24</v>
      </c>
      <c r="E81" s="6" t="s">
        <v>108</v>
      </c>
      <c r="F81" s="6" t="s">
        <v>109</v>
      </c>
      <c r="G81" s="6" t="s">
        <v>27</v>
      </c>
      <c r="H81" s="8" t="n">
        <v>100</v>
      </c>
      <c r="I81" s="9" t="n">
        <v>480.76</v>
      </c>
      <c r="J81" s="9" t="n">
        <f aca="false">H81*I81</f>
        <v>48076</v>
      </c>
      <c r="K81" s="6" t="s">
        <v>40</v>
      </c>
      <c r="L81" s="6" t="s">
        <v>62</v>
      </c>
      <c r="M81" s="6" t="s">
        <v>30</v>
      </c>
      <c r="N81" s="6" t="s">
        <v>31</v>
      </c>
      <c r="O81" s="6"/>
      <c r="P81" s="8" t="n">
        <f aca="false">Config!$B$1-B81</f>
        <v>472</v>
      </c>
      <c r="Q81" s="8" t="n">
        <f aca="false">IFERROR(INDEX('Failure Reference'!$C$4:$C$9,MATCH(O81,'Failure Reference'!$A$4:$A$9,0)),0)</f>
        <v>0</v>
      </c>
      <c r="R81" s="8" t="n">
        <f aca="false">IF(N81="Settled",0,Q81+P81*0.5+IFERROR(INDEX(Config!$B$4:$B$7,MATCH(D81,Config!$A$4:$A$7,0)),1)+IF(C81-Config!$B$1&lt;=1,5,0))</f>
        <v>0</v>
      </c>
      <c r="S81" s="10" t="str">
        <f aca="false">IF(R81=0,"Green",IF(R81&lt;10,"Amber","Red"))</f>
        <v>Green</v>
      </c>
      <c r="T81" s="6" t="str">
        <f aca="false">IF(N81="Settled","None",IF(C81-Config!$B$1&lt;=0,"Overdue",IF(C81-Config!$B$1&lt;=1,"Critical",IF(C81-Config!$B$1&lt;=3,"High","Low"))))</f>
        <v>None</v>
      </c>
      <c r="U81" s="8" t="str">
        <f aca="false">IF(R81=0,"",RANK(R81,$R$5:$R$104,0))</f>
        <v/>
      </c>
    </row>
    <row r="82" customFormat="false" ht="15" hidden="false" customHeight="true" outlineLevel="0" collapsed="false">
      <c r="A82" s="6" t="s">
        <v>183</v>
      </c>
      <c r="B82" s="7" t="n">
        <v>45779</v>
      </c>
      <c r="C82" s="7" t="n">
        <v>45780</v>
      </c>
      <c r="D82" s="6" t="s">
        <v>86</v>
      </c>
      <c r="E82" s="6" t="s">
        <v>184</v>
      </c>
      <c r="F82" s="6" t="s">
        <v>69</v>
      </c>
      <c r="G82" s="6" t="s">
        <v>27</v>
      </c>
      <c r="H82" s="8" t="n">
        <v>20</v>
      </c>
      <c r="I82" s="9" t="n">
        <v>23053.13</v>
      </c>
      <c r="J82" s="9" t="n">
        <f aca="false">H82*I82</f>
        <v>461062.6</v>
      </c>
      <c r="K82" s="6" t="s">
        <v>48</v>
      </c>
      <c r="L82" s="6" t="s">
        <v>35</v>
      </c>
      <c r="M82" s="6" t="s">
        <v>30</v>
      </c>
      <c r="N82" s="6" t="s">
        <v>31</v>
      </c>
      <c r="O82" s="6"/>
      <c r="P82" s="8" t="n">
        <f aca="false">Config!$B$1-B82</f>
        <v>402</v>
      </c>
      <c r="Q82" s="8" t="n">
        <f aca="false">IFERROR(INDEX('Failure Reference'!$C$4:$C$9,MATCH(O82,'Failure Reference'!$A$4:$A$9,0)),0)</f>
        <v>0</v>
      </c>
      <c r="R82" s="8" t="n">
        <f aca="false">IF(N82="Settled",0,Q82+P82*0.5+IFERROR(INDEX(Config!$B$4:$B$7,MATCH(D82,Config!$A$4:$A$7,0)),1)+IF(C82-Config!$B$1&lt;=1,5,0))</f>
        <v>0</v>
      </c>
      <c r="S82" s="10" t="str">
        <f aca="false">IF(R82=0,"Green",IF(R82&lt;10,"Amber","Red"))</f>
        <v>Green</v>
      </c>
      <c r="T82" s="6" t="str">
        <f aca="false">IF(N82="Settled","None",IF(C82-Config!$B$1&lt;=0,"Overdue",IF(C82-Config!$B$1&lt;=1,"Critical",IF(C82-Config!$B$1&lt;=3,"High","Low"))))</f>
        <v>None</v>
      </c>
      <c r="U82" s="8" t="str">
        <f aca="false">IF(R82=0,"",RANK(R82,$R$5:$R$104,0))</f>
        <v/>
      </c>
    </row>
    <row r="83" customFormat="false" ht="15" hidden="false" customHeight="true" outlineLevel="0" collapsed="false">
      <c r="A83" s="6" t="s">
        <v>185</v>
      </c>
      <c r="B83" s="7" t="n">
        <v>45752</v>
      </c>
      <c r="C83" s="7" t="n">
        <v>45753</v>
      </c>
      <c r="D83" s="6" t="s">
        <v>67</v>
      </c>
      <c r="E83" s="6" t="s">
        <v>132</v>
      </c>
      <c r="F83" s="6" t="s">
        <v>69</v>
      </c>
      <c r="G83" s="6" t="s">
        <v>27</v>
      </c>
      <c r="H83" s="8" t="n">
        <v>200</v>
      </c>
      <c r="I83" s="9" t="n">
        <v>88813.78</v>
      </c>
      <c r="J83" s="9" t="n">
        <f aca="false">H83*I83</f>
        <v>17762756</v>
      </c>
      <c r="K83" s="6" t="s">
        <v>62</v>
      </c>
      <c r="L83" s="6" t="s">
        <v>41</v>
      </c>
      <c r="M83" s="6" t="s">
        <v>164</v>
      </c>
      <c r="N83" s="6" t="s">
        <v>71</v>
      </c>
      <c r="O83" s="6"/>
      <c r="P83" s="8" t="n">
        <f aca="false">Config!$B$1-B83</f>
        <v>429</v>
      </c>
      <c r="Q83" s="8" t="n">
        <f aca="false">IFERROR(INDEX('Failure Reference'!$C$4:$C$9,MATCH(O83,'Failure Reference'!$A$4:$A$9,0)),0)</f>
        <v>0</v>
      </c>
      <c r="R83" s="8" t="n">
        <f aca="false">IF(N83="Settled",0,Q83+P83*0.5+IFERROR(INDEX(Config!$B$4:$B$7,MATCH(D83,Config!$A$4:$A$7,0)),1)+IF(C83-Config!$B$1&lt;=1,5,0))</f>
        <v>222</v>
      </c>
      <c r="S83" s="10" t="str">
        <f aca="false">IF(R83=0,"Green",IF(R83&lt;10,"Amber","Red"))</f>
        <v>Red</v>
      </c>
      <c r="T83" s="6" t="str">
        <f aca="false">IF(N83="Settled","None",IF(C83-Config!$B$1&lt;=0,"Overdue",IF(C83-Config!$B$1&lt;=1,"Critical",IF(C83-Config!$B$1&lt;=3,"High","Low"))))</f>
        <v>Overdue</v>
      </c>
      <c r="U83" s="8" t="n">
        <f aca="false">IF(R83=0,"",RANK(R83,$R$5:$R$104,0))</f>
        <v>18</v>
      </c>
    </row>
    <row r="84" customFormat="false" ht="15" hidden="false" customHeight="true" outlineLevel="0" collapsed="false">
      <c r="A84" s="6" t="s">
        <v>186</v>
      </c>
      <c r="B84" s="7" t="n">
        <v>45806</v>
      </c>
      <c r="C84" s="7" t="n">
        <v>45807</v>
      </c>
      <c r="D84" s="6" t="s">
        <v>24</v>
      </c>
      <c r="E84" s="6" t="s">
        <v>136</v>
      </c>
      <c r="F84" s="6" t="s">
        <v>137</v>
      </c>
      <c r="G84" s="6" t="s">
        <v>27</v>
      </c>
      <c r="H84" s="8" t="n">
        <v>300</v>
      </c>
      <c r="I84" s="9" t="n">
        <v>2871.6</v>
      </c>
      <c r="J84" s="9" t="n">
        <f aca="false">H84*I84</f>
        <v>861480</v>
      </c>
      <c r="K84" s="6" t="s">
        <v>56</v>
      </c>
      <c r="L84" s="6" t="s">
        <v>48</v>
      </c>
      <c r="M84" s="6" t="s">
        <v>42</v>
      </c>
      <c r="N84" s="6" t="s">
        <v>71</v>
      </c>
      <c r="O84" s="6"/>
      <c r="P84" s="8" t="n">
        <f aca="false">Config!$B$1-B84</f>
        <v>375</v>
      </c>
      <c r="Q84" s="8" t="n">
        <f aca="false">IFERROR(INDEX('Failure Reference'!$C$4:$C$9,MATCH(O84,'Failure Reference'!$A$4:$A$9,0)),0)</f>
        <v>0</v>
      </c>
      <c r="R84" s="8" t="n">
        <f aca="false">IF(N84="Settled",0,Q84+P84*0.5+IFERROR(INDEX(Config!$B$4:$B$7,MATCH(D84,Config!$A$4:$A$7,0)),1)+IF(C84-Config!$B$1&lt;=1,5,0))</f>
        <v>193.5</v>
      </c>
      <c r="S84" s="10" t="str">
        <f aca="false">IF(R84=0,"Green",IF(R84&lt;10,"Amber","Red"))</f>
        <v>Red</v>
      </c>
      <c r="T84" s="6" t="str">
        <f aca="false">IF(N84="Settled","None",IF(C84-Config!$B$1&lt;=0,"Overdue",IF(C84-Config!$B$1&lt;=1,"Critical",IF(C84-Config!$B$1&lt;=3,"High","Low"))))</f>
        <v>Overdue</v>
      </c>
      <c r="U84" s="8" t="n">
        <f aca="false">IF(R84=0,"",RANK(R84,$R$5:$R$104,0))</f>
        <v>23</v>
      </c>
    </row>
    <row r="85" customFormat="false" ht="15" hidden="false" customHeight="true" outlineLevel="0" collapsed="false">
      <c r="A85" s="6" t="s">
        <v>187</v>
      </c>
      <c r="B85" s="7" t="n">
        <v>45708</v>
      </c>
      <c r="C85" s="7" t="n">
        <v>45709</v>
      </c>
      <c r="D85" s="6" t="s">
        <v>86</v>
      </c>
      <c r="E85" s="6" t="s">
        <v>184</v>
      </c>
      <c r="F85" s="6" t="s">
        <v>69</v>
      </c>
      <c r="G85" s="6" t="s">
        <v>27</v>
      </c>
      <c r="H85" s="8" t="n">
        <v>20</v>
      </c>
      <c r="I85" s="9" t="n">
        <v>22706.76</v>
      </c>
      <c r="J85" s="9" t="n">
        <f aca="false">H85*I85</f>
        <v>454135.2</v>
      </c>
      <c r="K85" s="6" t="s">
        <v>40</v>
      </c>
      <c r="L85" s="6" t="s">
        <v>52</v>
      </c>
      <c r="M85" s="6" t="s">
        <v>30</v>
      </c>
      <c r="N85" s="6" t="s">
        <v>31</v>
      </c>
      <c r="O85" s="6"/>
      <c r="P85" s="8" t="n">
        <f aca="false">Config!$B$1-B85</f>
        <v>473</v>
      </c>
      <c r="Q85" s="8" t="n">
        <f aca="false">IFERROR(INDEX('Failure Reference'!$C$4:$C$9,MATCH(O85,'Failure Reference'!$A$4:$A$9,0)),0)</f>
        <v>0</v>
      </c>
      <c r="R85" s="8" t="n">
        <f aca="false">IF(N85="Settled",0,Q85+P85*0.5+IFERROR(INDEX(Config!$B$4:$B$7,MATCH(D85,Config!$A$4:$A$7,0)),1)+IF(C85-Config!$B$1&lt;=1,5,0))</f>
        <v>0</v>
      </c>
      <c r="S85" s="10" t="str">
        <f aca="false">IF(R85=0,"Green",IF(R85&lt;10,"Amber","Red"))</f>
        <v>Green</v>
      </c>
      <c r="T85" s="6" t="str">
        <f aca="false">IF(N85="Settled","None",IF(C85-Config!$B$1&lt;=0,"Overdue",IF(C85-Config!$B$1&lt;=1,"Critical",IF(C85-Config!$B$1&lt;=3,"High","Low"))))</f>
        <v>None</v>
      </c>
      <c r="U85" s="8" t="str">
        <f aca="false">IF(R85=0,"",RANK(R85,$R$5:$R$104,0))</f>
        <v/>
      </c>
    </row>
    <row r="86" customFormat="false" ht="15" hidden="false" customHeight="true" outlineLevel="0" collapsed="false">
      <c r="A86" s="6" t="s">
        <v>188</v>
      </c>
      <c r="B86" s="7" t="n">
        <v>45836</v>
      </c>
      <c r="C86" s="7" t="n">
        <v>45837</v>
      </c>
      <c r="D86" s="6" t="s">
        <v>24</v>
      </c>
      <c r="E86" s="6" t="s">
        <v>50</v>
      </c>
      <c r="F86" s="6" t="s">
        <v>51</v>
      </c>
      <c r="G86" s="6" t="s">
        <v>27</v>
      </c>
      <c r="H86" s="8" t="n">
        <v>300</v>
      </c>
      <c r="I86" s="9" t="n">
        <v>2991.23</v>
      </c>
      <c r="J86" s="9" t="n">
        <f aca="false">H86*I86</f>
        <v>897369</v>
      </c>
      <c r="K86" s="6" t="s">
        <v>29</v>
      </c>
      <c r="L86" s="6" t="s">
        <v>52</v>
      </c>
      <c r="M86" s="6" t="s">
        <v>30</v>
      </c>
      <c r="N86" s="6" t="s">
        <v>31</v>
      </c>
      <c r="O86" s="6"/>
      <c r="P86" s="8" t="n">
        <f aca="false">Config!$B$1-B86</f>
        <v>345</v>
      </c>
      <c r="Q86" s="8" t="n">
        <f aca="false">IFERROR(INDEX('Failure Reference'!$C$4:$C$9,MATCH(O86,'Failure Reference'!$A$4:$A$9,0)),0)</f>
        <v>0</v>
      </c>
      <c r="R86" s="8" t="n">
        <f aca="false">IF(N86="Settled",0,Q86+P86*0.5+IFERROR(INDEX(Config!$B$4:$B$7,MATCH(D86,Config!$A$4:$A$7,0)),1)+IF(C86-Config!$B$1&lt;=1,5,0))</f>
        <v>0</v>
      </c>
      <c r="S86" s="10" t="str">
        <f aca="false">IF(R86=0,"Green",IF(R86&lt;10,"Amber","Red"))</f>
        <v>Green</v>
      </c>
      <c r="T86" s="6" t="str">
        <f aca="false">IF(N86="Settled","None",IF(C86-Config!$B$1&lt;=0,"Overdue",IF(C86-Config!$B$1&lt;=1,"Critical",IF(C86-Config!$B$1&lt;=3,"High","Low"))))</f>
        <v>None</v>
      </c>
      <c r="U86" s="8" t="str">
        <f aca="false">IF(R86=0,"",RANK(R86,$R$5:$R$104,0))</f>
        <v/>
      </c>
    </row>
    <row r="87" customFormat="false" ht="15" hidden="false" customHeight="true" outlineLevel="0" collapsed="false">
      <c r="A87" s="6" t="s">
        <v>189</v>
      </c>
      <c r="B87" s="7" t="n">
        <v>45802</v>
      </c>
      <c r="C87" s="7" t="n">
        <v>45803</v>
      </c>
      <c r="D87" s="6" t="s">
        <v>24</v>
      </c>
      <c r="E87" s="6" t="s">
        <v>50</v>
      </c>
      <c r="F87" s="6" t="s">
        <v>51</v>
      </c>
      <c r="G87" s="6" t="s">
        <v>27</v>
      </c>
      <c r="H87" s="8" t="n">
        <v>100</v>
      </c>
      <c r="I87" s="9" t="n">
        <v>2845.84</v>
      </c>
      <c r="J87" s="9" t="n">
        <f aca="false">H87*I87</f>
        <v>284584</v>
      </c>
      <c r="K87" s="6" t="s">
        <v>56</v>
      </c>
      <c r="L87" s="6" t="s">
        <v>41</v>
      </c>
      <c r="M87" s="6" t="s">
        <v>30</v>
      </c>
      <c r="N87" s="6" t="s">
        <v>31</v>
      </c>
      <c r="O87" s="6"/>
      <c r="P87" s="8" t="n">
        <f aca="false">Config!$B$1-B87</f>
        <v>379</v>
      </c>
      <c r="Q87" s="8" t="n">
        <f aca="false">IFERROR(INDEX('Failure Reference'!$C$4:$C$9,MATCH(O87,'Failure Reference'!$A$4:$A$9,0)),0)</f>
        <v>0</v>
      </c>
      <c r="R87" s="8" t="n">
        <f aca="false">IF(N87="Settled",0,Q87+P87*0.5+IFERROR(INDEX(Config!$B$4:$B$7,MATCH(D87,Config!$A$4:$A$7,0)),1)+IF(C87-Config!$B$1&lt;=1,5,0))</f>
        <v>0</v>
      </c>
      <c r="S87" s="10" t="str">
        <f aca="false">IF(R87=0,"Green",IF(R87&lt;10,"Amber","Red"))</f>
        <v>Green</v>
      </c>
      <c r="T87" s="6" t="str">
        <f aca="false">IF(N87="Settled","None",IF(C87-Config!$B$1&lt;=0,"Overdue",IF(C87-Config!$B$1&lt;=1,"Critical",IF(C87-Config!$B$1&lt;=3,"High","Low"))))</f>
        <v>None</v>
      </c>
      <c r="U87" s="8" t="str">
        <f aca="false">IF(R87=0,"",RANK(R87,$R$5:$R$104,0))</f>
        <v/>
      </c>
    </row>
    <row r="88" customFormat="false" ht="15" hidden="false" customHeight="true" outlineLevel="0" collapsed="false">
      <c r="A88" s="6" t="s">
        <v>190</v>
      </c>
      <c r="B88" s="7" t="n">
        <v>45675</v>
      </c>
      <c r="C88" s="7" t="n">
        <v>45676</v>
      </c>
      <c r="D88" s="6" t="s">
        <v>24</v>
      </c>
      <c r="E88" s="6" t="s">
        <v>191</v>
      </c>
      <c r="F88" s="6" t="s">
        <v>192</v>
      </c>
      <c r="G88" s="6" t="s">
        <v>27</v>
      </c>
      <c r="H88" s="8" t="n">
        <v>1000</v>
      </c>
      <c r="I88" s="9" t="n">
        <v>2411.1</v>
      </c>
      <c r="J88" s="9" t="n">
        <f aca="false">H88*I88</f>
        <v>2411100</v>
      </c>
      <c r="K88" s="6" t="s">
        <v>56</v>
      </c>
      <c r="L88" s="6" t="s">
        <v>57</v>
      </c>
      <c r="M88" s="6" t="s">
        <v>164</v>
      </c>
      <c r="N88" s="6" t="s">
        <v>71</v>
      </c>
      <c r="O88" s="6"/>
      <c r="P88" s="8" t="n">
        <f aca="false">Config!$B$1-B88</f>
        <v>506</v>
      </c>
      <c r="Q88" s="8" t="n">
        <f aca="false">IFERROR(INDEX('Failure Reference'!$C$4:$C$9,MATCH(O88,'Failure Reference'!$A$4:$A$9,0)),0)</f>
        <v>0</v>
      </c>
      <c r="R88" s="8" t="n">
        <f aca="false">IF(N88="Settled",0,Q88+P88*0.5+IFERROR(INDEX(Config!$B$4:$B$7,MATCH(D88,Config!$A$4:$A$7,0)),1)+IF(C88-Config!$B$1&lt;=1,5,0))</f>
        <v>259</v>
      </c>
      <c r="S88" s="10" t="str">
        <f aca="false">IF(R88=0,"Green",IF(R88&lt;10,"Amber","Red"))</f>
        <v>Red</v>
      </c>
      <c r="T88" s="6" t="str">
        <f aca="false">IF(N88="Settled","None",IF(C88-Config!$B$1&lt;=0,"Overdue",IF(C88-Config!$B$1&lt;=1,"Critical",IF(C88-Config!$B$1&lt;=3,"High","Low"))))</f>
        <v>Overdue</v>
      </c>
      <c r="U88" s="8" t="n">
        <f aca="false">IF(R88=0,"",RANK(R88,$R$5:$R$104,0))</f>
        <v>5</v>
      </c>
    </row>
    <row r="89" customFormat="false" ht="15" hidden="false" customHeight="true" outlineLevel="0" collapsed="false">
      <c r="A89" s="6" t="s">
        <v>193</v>
      </c>
      <c r="B89" s="7" t="n">
        <v>45768</v>
      </c>
      <c r="C89" s="7" t="n">
        <v>45769</v>
      </c>
      <c r="D89" s="6" t="s">
        <v>24</v>
      </c>
      <c r="E89" s="6" t="s">
        <v>169</v>
      </c>
      <c r="F89" s="6" t="s">
        <v>170</v>
      </c>
      <c r="G89" s="6" t="s">
        <v>27</v>
      </c>
      <c r="H89" s="8" t="n">
        <v>1000</v>
      </c>
      <c r="I89" s="9" t="n">
        <v>789.76</v>
      </c>
      <c r="J89" s="9" t="n">
        <f aca="false">H89*I89</f>
        <v>789760</v>
      </c>
      <c r="K89" s="6" t="s">
        <v>48</v>
      </c>
      <c r="L89" s="6" t="s">
        <v>62</v>
      </c>
      <c r="M89" s="6" t="s">
        <v>145</v>
      </c>
      <c r="N89" s="6" t="s">
        <v>43</v>
      </c>
      <c r="O89" s="6" t="s">
        <v>146</v>
      </c>
      <c r="P89" s="8" t="n">
        <f aca="false">Config!$B$1-B89</f>
        <v>413</v>
      </c>
      <c r="Q89" s="8" t="n">
        <f aca="false">IFERROR(INDEX('Failure Reference'!$C$4:$C$9,MATCH(O89,'Failure Reference'!$A$4:$A$9,0)),0)</f>
        <v>7</v>
      </c>
      <c r="R89" s="8" t="n">
        <f aca="false">IF(N89="Settled",0,Q89+P89*0.5+IFERROR(INDEX(Config!$B$4:$B$7,MATCH(D89,Config!$A$4:$A$7,0)),1)+IF(C89-Config!$B$1&lt;=1,5,0))</f>
        <v>219.5</v>
      </c>
      <c r="S89" s="10" t="str">
        <f aca="false">IF(R89=0,"Green",IF(R89&lt;10,"Amber","Red"))</f>
        <v>Red</v>
      </c>
      <c r="T89" s="6" t="str">
        <f aca="false">IF(N89="Settled","None",IF(C89-Config!$B$1&lt;=0,"Overdue",IF(C89-Config!$B$1&lt;=1,"Critical",IF(C89-Config!$B$1&lt;=3,"High","Low"))))</f>
        <v>Overdue</v>
      </c>
      <c r="U89" s="8" t="n">
        <f aca="false">IF(R89=0,"",RANK(R89,$R$5:$R$104,0))</f>
        <v>19</v>
      </c>
    </row>
    <row r="90" customFormat="false" ht="15" hidden="false" customHeight="true" outlineLevel="0" collapsed="false">
      <c r="A90" s="6" t="s">
        <v>194</v>
      </c>
      <c r="B90" s="7" t="n">
        <v>45769</v>
      </c>
      <c r="C90" s="7" t="n">
        <v>45770</v>
      </c>
      <c r="D90" s="6" t="s">
        <v>37</v>
      </c>
      <c r="E90" s="6" t="s">
        <v>60</v>
      </c>
      <c r="F90" s="6" t="s">
        <v>61</v>
      </c>
      <c r="G90" s="6" t="s">
        <v>27</v>
      </c>
      <c r="H90" s="8" t="n">
        <v>25000</v>
      </c>
      <c r="I90" s="9" t="n">
        <v>100.33</v>
      </c>
      <c r="J90" s="9" t="n">
        <f aca="false">H90*I90</f>
        <v>2508250</v>
      </c>
      <c r="K90" s="6" t="s">
        <v>35</v>
      </c>
      <c r="L90" s="6" t="s">
        <v>29</v>
      </c>
      <c r="M90" s="6" t="s">
        <v>30</v>
      </c>
      <c r="N90" s="6" t="s">
        <v>31</v>
      </c>
      <c r="O90" s="6"/>
      <c r="P90" s="8" t="n">
        <f aca="false">Config!$B$1-B90</f>
        <v>412</v>
      </c>
      <c r="Q90" s="8" t="n">
        <f aca="false">IFERROR(INDEX('Failure Reference'!$C$4:$C$9,MATCH(O90,'Failure Reference'!$A$4:$A$9,0)),0)</f>
        <v>0</v>
      </c>
      <c r="R90" s="8" t="n">
        <f aca="false">IF(N90="Settled",0,Q90+P90*0.5+IFERROR(INDEX(Config!$B$4:$B$7,MATCH(D90,Config!$A$4:$A$7,0)),1)+IF(C90-Config!$B$1&lt;=1,5,0))</f>
        <v>0</v>
      </c>
      <c r="S90" s="10" t="str">
        <f aca="false">IF(R90=0,"Green",IF(R90&lt;10,"Amber","Red"))</f>
        <v>Green</v>
      </c>
      <c r="T90" s="6" t="str">
        <f aca="false">IF(N90="Settled","None",IF(C90-Config!$B$1&lt;=0,"Overdue",IF(C90-Config!$B$1&lt;=1,"Critical",IF(C90-Config!$B$1&lt;=3,"High","Low"))))</f>
        <v>None</v>
      </c>
      <c r="U90" s="8" t="str">
        <f aca="false">IF(R90=0,"",RANK(R90,$R$5:$R$104,0))</f>
        <v/>
      </c>
    </row>
    <row r="91" customFormat="false" ht="15" hidden="false" customHeight="true" outlineLevel="0" collapsed="false">
      <c r="A91" s="6" t="s">
        <v>195</v>
      </c>
      <c r="B91" s="7" t="n">
        <v>45781</v>
      </c>
      <c r="C91" s="7" t="n">
        <v>45782</v>
      </c>
      <c r="D91" s="6" t="s">
        <v>86</v>
      </c>
      <c r="E91" s="6" t="s">
        <v>121</v>
      </c>
      <c r="F91" s="6" t="s">
        <v>69</v>
      </c>
      <c r="G91" s="6" t="s">
        <v>27</v>
      </c>
      <c r="H91" s="8" t="n">
        <v>10</v>
      </c>
      <c r="I91" s="9" t="n">
        <v>85.13</v>
      </c>
      <c r="J91" s="9" t="n">
        <f aca="false">H91*I91</f>
        <v>851.3</v>
      </c>
      <c r="K91" s="6" t="s">
        <v>29</v>
      </c>
      <c r="L91" s="6" t="s">
        <v>35</v>
      </c>
      <c r="M91" s="6" t="s">
        <v>30</v>
      </c>
      <c r="N91" s="6" t="s">
        <v>31</v>
      </c>
      <c r="O91" s="6"/>
      <c r="P91" s="8" t="n">
        <f aca="false">Config!$B$1-B91</f>
        <v>400</v>
      </c>
      <c r="Q91" s="8" t="n">
        <f aca="false">IFERROR(INDEX('Failure Reference'!$C$4:$C$9,MATCH(O91,'Failure Reference'!$A$4:$A$9,0)),0)</f>
        <v>0</v>
      </c>
      <c r="R91" s="8" t="n">
        <f aca="false">IF(N91="Settled",0,Q91+P91*0.5+IFERROR(INDEX(Config!$B$4:$B$7,MATCH(D91,Config!$A$4:$A$7,0)),1)+IF(C91-Config!$B$1&lt;=1,5,0))</f>
        <v>0</v>
      </c>
      <c r="S91" s="10" t="str">
        <f aca="false">IF(R91=0,"Green",IF(R91&lt;10,"Amber","Red"))</f>
        <v>Green</v>
      </c>
      <c r="T91" s="6" t="str">
        <f aca="false">IF(N91="Settled","None",IF(C91-Config!$B$1&lt;=0,"Overdue",IF(C91-Config!$B$1&lt;=1,"Critical",IF(C91-Config!$B$1&lt;=3,"High","Low"))))</f>
        <v>None</v>
      </c>
      <c r="U91" s="8" t="str">
        <f aca="false">IF(R91=0,"",RANK(R91,$R$5:$R$104,0))</f>
        <v/>
      </c>
    </row>
    <row r="92" customFormat="false" ht="15" hidden="false" customHeight="true" outlineLevel="0" collapsed="false">
      <c r="A92" s="6" t="s">
        <v>196</v>
      </c>
      <c r="B92" s="7" t="n">
        <v>45740</v>
      </c>
      <c r="C92" s="7" t="n">
        <v>45741</v>
      </c>
      <c r="D92" s="6" t="s">
        <v>67</v>
      </c>
      <c r="E92" s="6" t="s">
        <v>132</v>
      </c>
      <c r="F92" s="6" t="s">
        <v>69</v>
      </c>
      <c r="G92" s="6" t="s">
        <v>77</v>
      </c>
      <c r="H92" s="8" t="n">
        <v>10</v>
      </c>
      <c r="I92" s="9" t="n">
        <v>84791.87</v>
      </c>
      <c r="J92" s="9" t="n">
        <f aca="false">H92*I92</f>
        <v>847918.7</v>
      </c>
      <c r="K92" s="6" t="s">
        <v>40</v>
      </c>
      <c r="L92" s="6" t="s">
        <v>57</v>
      </c>
      <c r="M92" s="6" t="s">
        <v>145</v>
      </c>
      <c r="N92" s="6" t="s">
        <v>71</v>
      </c>
      <c r="O92" s="6"/>
      <c r="P92" s="8" t="n">
        <f aca="false">Config!$B$1-B92</f>
        <v>441</v>
      </c>
      <c r="Q92" s="8" t="n">
        <f aca="false">IFERROR(INDEX('Failure Reference'!$C$4:$C$9,MATCH(O92,'Failure Reference'!$A$4:$A$9,0)),0)</f>
        <v>0</v>
      </c>
      <c r="R92" s="8" t="n">
        <f aca="false">IF(N92="Settled",0,Q92+P92*0.5+IFERROR(INDEX(Config!$B$4:$B$7,MATCH(D92,Config!$A$4:$A$7,0)),1)+IF(C92-Config!$B$1&lt;=1,5,0))</f>
        <v>228</v>
      </c>
      <c r="S92" s="10" t="str">
        <f aca="false">IF(R92=0,"Green",IF(R92&lt;10,"Amber","Red"))</f>
        <v>Red</v>
      </c>
      <c r="T92" s="6" t="str">
        <f aca="false">IF(N92="Settled","None",IF(C92-Config!$B$1&lt;=0,"Overdue",IF(C92-Config!$B$1&lt;=1,"Critical",IF(C92-Config!$B$1&lt;=3,"High","Low"))))</f>
        <v>Overdue</v>
      </c>
      <c r="U92" s="8" t="n">
        <f aca="false">IF(R92=0,"",RANK(R92,$R$5:$R$104,0))</f>
        <v>17</v>
      </c>
    </row>
    <row r="93" customFormat="false" ht="15" hidden="false" customHeight="true" outlineLevel="0" collapsed="false">
      <c r="A93" s="6" t="s">
        <v>197</v>
      </c>
      <c r="B93" s="7" t="n">
        <v>45814</v>
      </c>
      <c r="C93" s="7" t="n">
        <v>45815</v>
      </c>
      <c r="D93" s="6" t="s">
        <v>24</v>
      </c>
      <c r="E93" s="6" t="s">
        <v>98</v>
      </c>
      <c r="F93" s="6" t="s">
        <v>99</v>
      </c>
      <c r="G93" s="6" t="s">
        <v>27</v>
      </c>
      <c r="H93" s="8" t="n">
        <v>500</v>
      </c>
      <c r="I93" s="9" t="n">
        <v>7008.43</v>
      </c>
      <c r="J93" s="9" t="n">
        <f aca="false">H93*I93</f>
        <v>3504215</v>
      </c>
      <c r="K93" s="6" t="s">
        <v>48</v>
      </c>
      <c r="L93" s="6" t="s">
        <v>41</v>
      </c>
      <c r="M93" s="6" t="s">
        <v>30</v>
      </c>
      <c r="N93" s="6" t="s">
        <v>31</v>
      </c>
      <c r="O93" s="6"/>
      <c r="P93" s="8" t="n">
        <f aca="false">Config!$B$1-B93</f>
        <v>367</v>
      </c>
      <c r="Q93" s="8" t="n">
        <f aca="false">IFERROR(INDEX('Failure Reference'!$C$4:$C$9,MATCH(O93,'Failure Reference'!$A$4:$A$9,0)),0)</f>
        <v>0</v>
      </c>
      <c r="R93" s="8" t="n">
        <f aca="false">IF(N93="Settled",0,Q93+P93*0.5+IFERROR(INDEX(Config!$B$4:$B$7,MATCH(D93,Config!$A$4:$A$7,0)),1)+IF(C93-Config!$B$1&lt;=1,5,0))</f>
        <v>0</v>
      </c>
      <c r="S93" s="10" t="str">
        <f aca="false">IF(R93=0,"Green",IF(R93&lt;10,"Amber","Red"))</f>
        <v>Green</v>
      </c>
      <c r="T93" s="6" t="str">
        <f aca="false">IF(N93="Settled","None",IF(C93-Config!$B$1&lt;=0,"Overdue",IF(C93-Config!$B$1&lt;=1,"Critical",IF(C93-Config!$B$1&lt;=3,"High","Low"))))</f>
        <v>None</v>
      </c>
      <c r="U93" s="8" t="str">
        <f aca="false">IF(R93=0,"",RANK(R93,$R$5:$R$104,0))</f>
        <v/>
      </c>
    </row>
    <row r="94" customFormat="false" ht="15" hidden="false" customHeight="true" outlineLevel="0" collapsed="false">
      <c r="A94" s="6" t="s">
        <v>198</v>
      </c>
      <c r="B94" s="7" t="n">
        <v>45704</v>
      </c>
      <c r="C94" s="7" t="n">
        <v>45705</v>
      </c>
      <c r="D94" s="6" t="s">
        <v>37</v>
      </c>
      <c r="E94" s="6" t="s">
        <v>46</v>
      </c>
      <c r="F94" s="6" t="s">
        <v>47</v>
      </c>
      <c r="G94" s="6" t="s">
        <v>27</v>
      </c>
      <c r="H94" s="8" t="n">
        <v>2000</v>
      </c>
      <c r="I94" s="9" t="n">
        <v>98.92</v>
      </c>
      <c r="J94" s="9" t="n">
        <f aca="false">H94*I94</f>
        <v>197840</v>
      </c>
      <c r="K94" s="6" t="s">
        <v>35</v>
      </c>
      <c r="L94" s="6" t="s">
        <v>56</v>
      </c>
      <c r="M94" s="6" t="s">
        <v>30</v>
      </c>
      <c r="N94" s="6" t="s">
        <v>31</v>
      </c>
      <c r="O94" s="6"/>
      <c r="P94" s="8" t="n">
        <f aca="false">Config!$B$1-B94</f>
        <v>477</v>
      </c>
      <c r="Q94" s="8" t="n">
        <f aca="false">IFERROR(INDEX('Failure Reference'!$C$4:$C$9,MATCH(O94,'Failure Reference'!$A$4:$A$9,0)),0)</f>
        <v>0</v>
      </c>
      <c r="R94" s="8" t="n">
        <f aca="false">IF(N94="Settled",0,Q94+P94*0.5+IFERROR(INDEX(Config!$B$4:$B$7,MATCH(D94,Config!$A$4:$A$7,0)),1)+IF(C94-Config!$B$1&lt;=1,5,0))</f>
        <v>0</v>
      </c>
      <c r="S94" s="10" t="str">
        <f aca="false">IF(R94=0,"Green",IF(R94&lt;10,"Amber","Red"))</f>
        <v>Green</v>
      </c>
      <c r="T94" s="6" t="str">
        <f aca="false">IF(N94="Settled","None",IF(C94-Config!$B$1&lt;=0,"Overdue",IF(C94-Config!$B$1&lt;=1,"Critical",IF(C94-Config!$B$1&lt;=3,"High","Low"))))</f>
        <v>None</v>
      </c>
      <c r="U94" s="8" t="str">
        <f aca="false">IF(R94=0,"",RANK(R94,$R$5:$R$104,0))</f>
        <v/>
      </c>
    </row>
    <row r="95" customFormat="false" ht="15" hidden="false" customHeight="true" outlineLevel="0" collapsed="false">
      <c r="A95" s="6" t="s">
        <v>199</v>
      </c>
      <c r="B95" s="7" t="n">
        <v>45729</v>
      </c>
      <c r="C95" s="7" t="n">
        <v>45730</v>
      </c>
      <c r="D95" s="6" t="s">
        <v>37</v>
      </c>
      <c r="E95" s="6" t="s">
        <v>112</v>
      </c>
      <c r="F95" s="6" t="s">
        <v>113</v>
      </c>
      <c r="G95" s="6" t="s">
        <v>27</v>
      </c>
      <c r="H95" s="8" t="n">
        <v>5000</v>
      </c>
      <c r="I95" s="9" t="n">
        <v>99.02</v>
      </c>
      <c r="J95" s="9" t="n">
        <f aca="false">H95*I95</f>
        <v>495100</v>
      </c>
      <c r="K95" s="6" t="s">
        <v>57</v>
      </c>
      <c r="L95" s="6" t="s">
        <v>40</v>
      </c>
      <c r="M95" s="6" t="s">
        <v>164</v>
      </c>
      <c r="N95" s="6" t="s">
        <v>71</v>
      </c>
      <c r="O95" s="6"/>
      <c r="P95" s="8" t="n">
        <f aca="false">Config!$B$1-B95</f>
        <v>452</v>
      </c>
      <c r="Q95" s="8" t="n">
        <f aca="false">IFERROR(INDEX('Failure Reference'!$C$4:$C$9,MATCH(O95,'Failure Reference'!$A$4:$A$9,0)),0)</f>
        <v>0</v>
      </c>
      <c r="R95" s="8" t="n">
        <f aca="false">IF(N95="Settled",0,Q95+P95*0.5+IFERROR(INDEX(Config!$B$4:$B$7,MATCH(D95,Config!$A$4:$A$7,0)),1)+IF(C95-Config!$B$1&lt;=1,5,0))</f>
        <v>232.5</v>
      </c>
      <c r="S95" s="10" t="str">
        <f aca="false">IF(R95=0,"Green",IF(R95&lt;10,"Amber","Red"))</f>
        <v>Red</v>
      </c>
      <c r="T95" s="6" t="str">
        <f aca="false">IF(N95="Settled","None",IF(C95-Config!$B$1&lt;=0,"Overdue",IF(C95-Config!$B$1&lt;=1,"Critical",IF(C95-Config!$B$1&lt;=3,"High","Low"))))</f>
        <v>Overdue</v>
      </c>
      <c r="U95" s="8" t="n">
        <f aca="false">IF(R95=0,"",RANK(R95,$R$5:$R$104,0))</f>
        <v>13</v>
      </c>
    </row>
    <row r="96" customFormat="false" ht="15" hidden="false" customHeight="true" outlineLevel="0" collapsed="false">
      <c r="A96" s="6" t="s">
        <v>200</v>
      </c>
      <c r="B96" s="7" t="n">
        <v>45719</v>
      </c>
      <c r="C96" s="7" t="n">
        <v>45720</v>
      </c>
      <c r="D96" s="6" t="s">
        <v>67</v>
      </c>
      <c r="E96" s="6" t="s">
        <v>76</v>
      </c>
      <c r="F96" s="6" t="s">
        <v>69</v>
      </c>
      <c r="G96" s="6" t="s">
        <v>27</v>
      </c>
      <c r="H96" s="8" t="n">
        <v>100</v>
      </c>
      <c r="I96" s="9" t="n">
        <v>2.87</v>
      </c>
      <c r="J96" s="9" t="n">
        <f aca="false">H96*I96</f>
        <v>287</v>
      </c>
      <c r="K96" s="6" t="s">
        <v>48</v>
      </c>
      <c r="L96" s="6" t="s">
        <v>57</v>
      </c>
      <c r="M96" s="6" t="s">
        <v>30</v>
      </c>
      <c r="N96" s="6" t="s">
        <v>31</v>
      </c>
      <c r="O96" s="6"/>
      <c r="P96" s="8" t="n">
        <f aca="false">Config!$B$1-B96</f>
        <v>462</v>
      </c>
      <c r="Q96" s="8" t="n">
        <f aca="false">IFERROR(INDEX('Failure Reference'!$C$4:$C$9,MATCH(O96,'Failure Reference'!$A$4:$A$9,0)),0)</f>
        <v>0</v>
      </c>
      <c r="R96" s="8" t="n">
        <f aca="false">IF(N96="Settled",0,Q96+P96*0.5+IFERROR(INDEX(Config!$B$4:$B$7,MATCH(D96,Config!$A$4:$A$7,0)),1)+IF(C96-Config!$B$1&lt;=1,5,0))</f>
        <v>0</v>
      </c>
      <c r="S96" s="10" t="str">
        <f aca="false">IF(R96=0,"Green",IF(R96&lt;10,"Amber","Red"))</f>
        <v>Green</v>
      </c>
      <c r="T96" s="6" t="str">
        <f aca="false">IF(N96="Settled","None",IF(C96-Config!$B$1&lt;=0,"Overdue",IF(C96-Config!$B$1&lt;=1,"Critical",IF(C96-Config!$B$1&lt;=3,"High","Low"))))</f>
        <v>None</v>
      </c>
      <c r="U96" s="8" t="str">
        <f aca="false">IF(R96=0,"",RANK(R96,$R$5:$R$104,0))</f>
        <v/>
      </c>
    </row>
    <row r="97" customFormat="false" ht="15" hidden="false" customHeight="true" outlineLevel="0" collapsed="false">
      <c r="A97" s="6" t="s">
        <v>201</v>
      </c>
      <c r="B97" s="7" t="n">
        <v>45772</v>
      </c>
      <c r="C97" s="7" t="n">
        <v>45773</v>
      </c>
      <c r="D97" s="6" t="s">
        <v>37</v>
      </c>
      <c r="E97" s="6" t="s">
        <v>128</v>
      </c>
      <c r="F97" s="6" t="s">
        <v>129</v>
      </c>
      <c r="G97" s="6" t="s">
        <v>27</v>
      </c>
      <c r="H97" s="8" t="n">
        <v>1000</v>
      </c>
      <c r="I97" s="9" t="n">
        <v>100.14</v>
      </c>
      <c r="J97" s="9" t="n">
        <f aca="false">H97*I97</f>
        <v>100140</v>
      </c>
      <c r="K97" s="6" t="s">
        <v>40</v>
      </c>
      <c r="L97" s="6" t="s">
        <v>48</v>
      </c>
      <c r="M97" s="6" t="s">
        <v>30</v>
      </c>
      <c r="N97" s="6" t="s">
        <v>31</v>
      </c>
      <c r="O97" s="6"/>
      <c r="P97" s="8" t="n">
        <f aca="false">Config!$B$1-B97</f>
        <v>409</v>
      </c>
      <c r="Q97" s="8" t="n">
        <f aca="false">IFERROR(INDEX('Failure Reference'!$C$4:$C$9,MATCH(O97,'Failure Reference'!$A$4:$A$9,0)),0)</f>
        <v>0</v>
      </c>
      <c r="R97" s="8" t="n">
        <f aca="false">IF(N97="Settled",0,Q97+P97*0.5+IFERROR(INDEX(Config!$B$4:$B$7,MATCH(D97,Config!$A$4:$A$7,0)),1)+IF(C97-Config!$B$1&lt;=1,5,0))</f>
        <v>0</v>
      </c>
      <c r="S97" s="10" t="str">
        <f aca="false">IF(R97=0,"Green",IF(R97&lt;10,"Amber","Red"))</f>
        <v>Green</v>
      </c>
      <c r="T97" s="6" t="str">
        <f aca="false">IF(N97="Settled","None",IF(C97-Config!$B$1&lt;=0,"Overdue",IF(C97-Config!$B$1&lt;=1,"Critical",IF(C97-Config!$B$1&lt;=3,"High","Low"))))</f>
        <v>None</v>
      </c>
      <c r="U97" s="8" t="str">
        <f aca="false">IF(R97=0,"",RANK(R97,$R$5:$R$104,0))</f>
        <v/>
      </c>
    </row>
    <row r="98" customFormat="false" ht="15" hidden="false" customHeight="true" outlineLevel="0" collapsed="false">
      <c r="A98" s="6" t="s">
        <v>202</v>
      </c>
      <c r="B98" s="7" t="n">
        <v>45835</v>
      </c>
      <c r="C98" s="7" t="n">
        <v>45836</v>
      </c>
      <c r="D98" s="6" t="s">
        <v>86</v>
      </c>
      <c r="E98" s="6" t="s">
        <v>119</v>
      </c>
      <c r="F98" s="6" t="s">
        <v>69</v>
      </c>
      <c r="G98" s="6" t="s">
        <v>27</v>
      </c>
      <c r="H98" s="8" t="n">
        <v>5</v>
      </c>
      <c r="I98" s="9" t="n">
        <v>48674.17</v>
      </c>
      <c r="J98" s="9" t="n">
        <f aca="false">H98*I98</f>
        <v>243370.85</v>
      </c>
      <c r="K98" s="6" t="s">
        <v>41</v>
      </c>
      <c r="L98" s="6" t="s">
        <v>57</v>
      </c>
      <c r="M98" s="6" t="s">
        <v>30</v>
      </c>
      <c r="N98" s="6" t="s">
        <v>31</v>
      </c>
      <c r="O98" s="6"/>
      <c r="P98" s="8" t="n">
        <f aca="false">Config!$B$1-B98</f>
        <v>346</v>
      </c>
      <c r="Q98" s="8" t="n">
        <f aca="false">IFERROR(INDEX('Failure Reference'!$C$4:$C$9,MATCH(O98,'Failure Reference'!$A$4:$A$9,0)),0)</f>
        <v>0</v>
      </c>
      <c r="R98" s="8" t="n">
        <f aca="false">IF(N98="Settled",0,Q98+P98*0.5+IFERROR(INDEX(Config!$B$4:$B$7,MATCH(D98,Config!$A$4:$A$7,0)),1)+IF(C98-Config!$B$1&lt;=1,5,0))</f>
        <v>0</v>
      </c>
      <c r="S98" s="10" t="str">
        <f aca="false">IF(R98=0,"Green",IF(R98&lt;10,"Amber","Red"))</f>
        <v>Green</v>
      </c>
      <c r="T98" s="6" t="str">
        <f aca="false">IF(N98="Settled","None",IF(C98-Config!$B$1&lt;=0,"Overdue",IF(C98-Config!$B$1&lt;=1,"Critical",IF(C98-Config!$B$1&lt;=3,"High","Low"))))</f>
        <v>None</v>
      </c>
      <c r="U98" s="8" t="str">
        <f aca="false">IF(R98=0,"",RANK(R98,$R$5:$R$104,0))</f>
        <v/>
      </c>
    </row>
    <row r="99" customFormat="false" ht="15" hidden="false" customHeight="true" outlineLevel="0" collapsed="false">
      <c r="A99" s="6" t="s">
        <v>203</v>
      </c>
      <c r="B99" s="7" t="n">
        <v>45799</v>
      </c>
      <c r="C99" s="7" t="n">
        <v>45800</v>
      </c>
      <c r="D99" s="6" t="s">
        <v>24</v>
      </c>
      <c r="E99" s="6" t="s">
        <v>191</v>
      </c>
      <c r="F99" s="6" t="s">
        <v>192</v>
      </c>
      <c r="G99" s="6" t="s">
        <v>27</v>
      </c>
      <c r="H99" s="8" t="n">
        <v>300</v>
      </c>
      <c r="I99" s="9" t="n">
        <v>2431.75</v>
      </c>
      <c r="J99" s="9" t="n">
        <f aca="false">H99*I99</f>
        <v>729525</v>
      </c>
      <c r="K99" s="6" t="s">
        <v>57</v>
      </c>
      <c r="L99" s="6" t="s">
        <v>41</v>
      </c>
      <c r="M99" s="6" t="s">
        <v>30</v>
      </c>
      <c r="N99" s="6" t="s">
        <v>31</v>
      </c>
      <c r="O99" s="6"/>
      <c r="P99" s="8" t="n">
        <f aca="false">Config!$B$1-B99</f>
        <v>382</v>
      </c>
      <c r="Q99" s="8" t="n">
        <f aca="false">IFERROR(INDEX('Failure Reference'!$C$4:$C$9,MATCH(O99,'Failure Reference'!$A$4:$A$9,0)),0)</f>
        <v>0</v>
      </c>
      <c r="R99" s="8" t="n">
        <f aca="false">IF(N99="Settled",0,Q99+P99*0.5+IFERROR(INDEX(Config!$B$4:$B$7,MATCH(D99,Config!$A$4:$A$7,0)),1)+IF(C99-Config!$B$1&lt;=1,5,0))</f>
        <v>0</v>
      </c>
      <c r="S99" s="10" t="str">
        <f aca="false">IF(R99=0,"Green",IF(R99&lt;10,"Amber","Red"))</f>
        <v>Green</v>
      </c>
      <c r="T99" s="6" t="str">
        <f aca="false">IF(N99="Settled","None",IF(C99-Config!$B$1&lt;=0,"Overdue",IF(C99-Config!$B$1&lt;=1,"Critical",IF(C99-Config!$B$1&lt;=3,"High","Low"))))</f>
        <v>None</v>
      </c>
      <c r="U99" s="8" t="str">
        <f aca="false">IF(R99=0,"",RANK(R99,$R$5:$R$104,0))</f>
        <v/>
      </c>
    </row>
    <row r="100" customFormat="false" ht="15" hidden="false" customHeight="true" outlineLevel="0" collapsed="false">
      <c r="A100" s="6" t="s">
        <v>204</v>
      </c>
      <c r="B100" s="7" t="n">
        <v>45748</v>
      </c>
      <c r="C100" s="7" t="n">
        <v>45749</v>
      </c>
      <c r="D100" s="6" t="s">
        <v>86</v>
      </c>
      <c r="E100" s="6" t="s">
        <v>121</v>
      </c>
      <c r="F100" s="6" t="s">
        <v>69</v>
      </c>
      <c r="G100" s="6" t="s">
        <v>27</v>
      </c>
      <c r="H100" s="8" t="n">
        <v>5</v>
      </c>
      <c r="I100" s="9" t="n">
        <v>82.53</v>
      </c>
      <c r="J100" s="9" t="n">
        <f aca="false">H100*I100</f>
        <v>412.65</v>
      </c>
      <c r="K100" s="6" t="s">
        <v>40</v>
      </c>
      <c r="L100" s="6" t="s">
        <v>52</v>
      </c>
      <c r="M100" s="6" t="s">
        <v>30</v>
      </c>
      <c r="N100" s="6" t="s">
        <v>31</v>
      </c>
      <c r="O100" s="6"/>
      <c r="P100" s="8" t="n">
        <f aca="false">Config!$B$1-B100</f>
        <v>433</v>
      </c>
      <c r="Q100" s="8" t="n">
        <f aca="false">IFERROR(INDEX('Failure Reference'!$C$4:$C$9,MATCH(O100,'Failure Reference'!$A$4:$A$9,0)),0)</f>
        <v>0</v>
      </c>
      <c r="R100" s="8" t="n">
        <f aca="false">IF(N100="Settled",0,Q100+P100*0.5+IFERROR(INDEX(Config!$B$4:$B$7,MATCH(D100,Config!$A$4:$A$7,0)),1)+IF(C100-Config!$B$1&lt;=1,5,0))</f>
        <v>0</v>
      </c>
      <c r="S100" s="10" t="str">
        <f aca="false">IF(R100=0,"Green",IF(R100&lt;10,"Amber","Red"))</f>
        <v>Green</v>
      </c>
      <c r="T100" s="6" t="str">
        <f aca="false">IF(N100="Settled","None",IF(C100-Config!$B$1&lt;=0,"Overdue",IF(C100-Config!$B$1&lt;=1,"Critical",IF(C100-Config!$B$1&lt;=3,"High","Low"))))</f>
        <v>None</v>
      </c>
      <c r="U100" s="8" t="str">
        <f aca="false">IF(R100=0,"",RANK(R100,$R$5:$R$104,0))</f>
        <v/>
      </c>
    </row>
    <row r="101" customFormat="false" ht="15" hidden="false" customHeight="true" outlineLevel="0" collapsed="false">
      <c r="A101" s="6" t="s">
        <v>205</v>
      </c>
      <c r="B101" s="7" t="n">
        <v>45707</v>
      </c>
      <c r="C101" s="7" t="n">
        <v>45708</v>
      </c>
      <c r="D101" s="6" t="s">
        <v>86</v>
      </c>
      <c r="E101" s="6" t="s">
        <v>150</v>
      </c>
      <c r="F101" s="6" t="s">
        <v>69</v>
      </c>
      <c r="G101" s="6" t="s">
        <v>27</v>
      </c>
      <c r="H101" s="8" t="n">
        <v>1</v>
      </c>
      <c r="I101" s="9" t="n">
        <v>2891.53</v>
      </c>
      <c r="J101" s="9" t="n">
        <f aca="false">H101*I101</f>
        <v>2891.53</v>
      </c>
      <c r="K101" s="6" t="s">
        <v>62</v>
      </c>
      <c r="L101" s="6" t="s">
        <v>35</v>
      </c>
      <c r="M101" s="6" t="s">
        <v>30</v>
      </c>
      <c r="N101" s="6" t="s">
        <v>43</v>
      </c>
      <c r="O101" s="6" t="s">
        <v>125</v>
      </c>
      <c r="P101" s="8" t="n">
        <f aca="false">Config!$B$1-B101</f>
        <v>474</v>
      </c>
      <c r="Q101" s="8" t="n">
        <f aca="false">IFERROR(INDEX('Failure Reference'!$C$4:$C$9,MATCH(O101,'Failure Reference'!$A$4:$A$9,0)),0)</f>
        <v>10</v>
      </c>
      <c r="R101" s="8" t="n">
        <f aca="false">IF(N101="Settled",0,Q101+P101*0.5+IFERROR(INDEX(Config!$B$4:$B$7,MATCH(D101,Config!$A$4:$A$7,0)),1)+IF(C101-Config!$B$1&lt;=1,5,0))</f>
        <v>254</v>
      </c>
      <c r="S101" s="10" t="str">
        <f aca="false">IF(R101=0,"Green",IF(R101&lt;10,"Amber","Red"))</f>
        <v>Red</v>
      </c>
      <c r="T101" s="6" t="str">
        <f aca="false">IF(N101="Settled","None",IF(C101-Config!$B$1&lt;=0,"Overdue",IF(C101-Config!$B$1&lt;=1,"Critical",IF(C101-Config!$B$1&lt;=3,"High","Low"))))</f>
        <v>Overdue</v>
      </c>
      <c r="U101" s="8" t="n">
        <f aca="false">IF(R101=0,"",RANK(R101,$R$5:$R$104,0))</f>
        <v>7</v>
      </c>
    </row>
    <row r="102" customFormat="false" ht="15" hidden="false" customHeight="true" outlineLevel="0" collapsed="false">
      <c r="A102" s="6" t="s">
        <v>206</v>
      </c>
      <c r="B102" s="7" t="n">
        <v>45713</v>
      </c>
      <c r="C102" s="7" t="n">
        <v>45714</v>
      </c>
      <c r="D102" s="6" t="s">
        <v>67</v>
      </c>
      <c r="E102" s="6" t="s">
        <v>76</v>
      </c>
      <c r="F102" s="6" t="s">
        <v>69</v>
      </c>
      <c r="G102" s="6" t="s">
        <v>77</v>
      </c>
      <c r="H102" s="8" t="n">
        <v>50</v>
      </c>
      <c r="I102" s="9" t="n">
        <v>2.94</v>
      </c>
      <c r="J102" s="9" t="n">
        <f aca="false">H102*I102</f>
        <v>147</v>
      </c>
      <c r="K102" s="6" t="s">
        <v>52</v>
      </c>
      <c r="L102" s="6" t="s">
        <v>35</v>
      </c>
      <c r="M102" s="6" t="s">
        <v>30</v>
      </c>
      <c r="N102" s="6" t="s">
        <v>31</v>
      </c>
      <c r="O102" s="6"/>
      <c r="P102" s="8" t="n">
        <f aca="false">Config!$B$1-B102</f>
        <v>468</v>
      </c>
      <c r="Q102" s="8" t="n">
        <f aca="false">IFERROR(INDEX('Failure Reference'!$C$4:$C$9,MATCH(O102,'Failure Reference'!$A$4:$A$9,0)),0)</f>
        <v>0</v>
      </c>
      <c r="R102" s="8" t="n">
        <f aca="false">IF(N102="Settled",0,Q102+P102*0.5+IFERROR(INDEX(Config!$B$4:$B$7,MATCH(D102,Config!$A$4:$A$7,0)),1)+IF(C102-Config!$B$1&lt;=1,5,0))</f>
        <v>0</v>
      </c>
      <c r="S102" s="10" t="str">
        <f aca="false">IF(R102=0,"Green",IF(R102&lt;10,"Amber","Red"))</f>
        <v>Green</v>
      </c>
      <c r="T102" s="6" t="str">
        <f aca="false">IF(N102="Settled","None",IF(C102-Config!$B$1&lt;=0,"Overdue",IF(C102-Config!$B$1&lt;=1,"Critical",IF(C102-Config!$B$1&lt;=3,"High","Low"))))</f>
        <v>None</v>
      </c>
      <c r="U102" s="8" t="str">
        <f aca="false">IF(R102=0,"",RANK(R102,$R$5:$R$104,0))</f>
        <v/>
      </c>
    </row>
    <row r="103" customFormat="false" ht="15" hidden="false" customHeight="true" outlineLevel="0" collapsed="false">
      <c r="A103" s="6" t="s">
        <v>207</v>
      </c>
      <c r="B103" s="7" t="n">
        <v>45733</v>
      </c>
      <c r="C103" s="7" t="n">
        <v>45734</v>
      </c>
      <c r="D103" s="6" t="s">
        <v>24</v>
      </c>
      <c r="E103" s="6" t="s">
        <v>25</v>
      </c>
      <c r="F103" s="6" t="s">
        <v>26</v>
      </c>
      <c r="G103" s="6" t="s">
        <v>27</v>
      </c>
      <c r="H103" s="8" t="n">
        <v>300</v>
      </c>
      <c r="I103" s="9" t="n">
        <v>3794.34</v>
      </c>
      <c r="J103" s="9" t="n">
        <f aca="false">H103*I103</f>
        <v>1138302</v>
      </c>
      <c r="K103" s="6" t="s">
        <v>28</v>
      </c>
      <c r="L103" s="6" t="s">
        <v>29</v>
      </c>
      <c r="M103" s="6" t="s">
        <v>30</v>
      </c>
      <c r="N103" s="6" t="s">
        <v>31</v>
      </c>
      <c r="O103" s="6"/>
      <c r="P103" s="8" t="n">
        <f aca="false">Config!$B$1-B103</f>
        <v>448</v>
      </c>
      <c r="Q103" s="8" t="n">
        <f aca="false">IFERROR(INDEX('Failure Reference'!$C$4:$C$9,MATCH(O103,'Failure Reference'!$A$4:$A$9,0)),0)</f>
        <v>0</v>
      </c>
      <c r="R103" s="8" t="n">
        <f aca="false">IF(N103="Settled",0,Q103+P103*0.5+IFERROR(INDEX(Config!$B$4:$B$7,MATCH(D103,Config!$A$4:$A$7,0)),1)+IF(C103-Config!$B$1&lt;=1,5,0))</f>
        <v>0</v>
      </c>
      <c r="S103" s="10" t="str">
        <f aca="false">IF(R103=0,"Green",IF(R103&lt;10,"Amber","Red"))</f>
        <v>Green</v>
      </c>
      <c r="T103" s="6" t="str">
        <f aca="false">IF(N103="Settled","None",IF(C103-Config!$B$1&lt;=0,"Overdue",IF(C103-Config!$B$1&lt;=1,"Critical",IF(C103-Config!$B$1&lt;=3,"High","Low"))))</f>
        <v>None</v>
      </c>
      <c r="U103" s="8" t="str">
        <f aca="false">IF(R103=0,"",RANK(R103,$R$5:$R$104,0))</f>
        <v/>
      </c>
    </row>
    <row r="104" customFormat="false" ht="15" hidden="false" customHeight="true" outlineLevel="0" collapsed="false">
      <c r="A104" s="6" t="s">
        <v>208</v>
      </c>
      <c r="B104" s="7" t="n">
        <v>45690</v>
      </c>
      <c r="C104" s="7" t="n">
        <v>45691</v>
      </c>
      <c r="D104" s="6" t="s">
        <v>24</v>
      </c>
      <c r="E104" s="6" t="s">
        <v>80</v>
      </c>
      <c r="F104" s="6" t="s">
        <v>81</v>
      </c>
      <c r="G104" s="6" t="s">
        <v>27</v>
      </c>
      <c r="H104" s="8" t="n">
        <v>100</v>
      </c>
      <c r="I104" s="9" t="n">
        <v>1173.12</v>
      </c>
      <c r="J104" s="9" t="n">
        <f aca="false">H104*I104</f>
        <v>117312</v>
      </c>
      <c r="K104" s="6" t="s">
        <v>57</v>
      </c>
      <c r="L104" s="6" t="s">
        <v>35</v>
      </c>
      <c r="M104" s="6" t="s">
        <v>42</v>
      </c>
      <c r="N104" s="6" t="s">
        <v>71</v>
      </c>
      <c r="O104" s="6"/>
      <c r="P104" s="8" t="n">
        <f aca="false">Config!$B$1-B104</f>
        <v>491</v>
      </c>
      <c r="Q104" s="8" t="n">
        <f aca="false">IFERROR(INDEX('Failure Reference'!$C$4:$C$9,MATCH(O104,'Failure Reference'!$A$4:$A$9,0)),0)</f>
        <v>0</v>
      </c>
      <c r="R104" s="8" t="n">
        <f aca="false">IF(N104="Settled",0,Q104+P104*0.5+IFERROR(INDEX(Config!$B$4:$B$7,MATCH(D104,Config!$A$4:$A$7,0)),1)+IF(C104-Config!$B$1&lt;=1,5,0))</f>
        <v>251.5</v>
      </c>
      <c r="S104" s="10" t="str">
        <f aca="false">IF(R104=0,"Green",IF(R104&lt;10,"Amber","Red"))</f>
        <v>Red</v>
      </c>
      <c r="T104" s="6" t="str">
        <f aca="false">IF(N104="Settled","None",IF(C104-Config!$B$1&lt;=0,"Overdue",IF(C104-Config!$B$1&lt;=1,"Critical",IF(C104-Config!$B$1&lt;=3,"High","Low"))))</f>
        <v>Overdue</v>
      </c>
      <c r="U104" s="8" t="n">
        <f aca="false">IF(R104=0,"",RANK(R104,$R$5:$R$104,0))</f>
        <v>8</v>
      </c>
    </row>
  </sheetData>
  <conditionalFormatting sqref="S5:S104">
    <cfRule type="expression" priority="2" aboveAverage="0" equalAverage="0" bottom="0" percent="0" rank="0" text="" dxfId="0">
      <formula>$S5="Red"</formula>
    </cfRule>
    <cfRule type="expression" priority="3" aboveAverage="0" equalAverage="0" bottom="0" percent="0" rank="0" text="" dxfId="1">
      <formula>$S5="Amber"</formula>
    </cfRule>
    <cfRule type="expression" priority="4" aboveAverage="0" equalAverage="0" bottom="0" percent="0" rank="0" text="" dxfId="2">
      <formula>$S5="Green"</formula>
    </cfRule>
  </conditionalFormatting>
  <conditionalFormatting sqref="N5:N104">
    <cfRule type="expression" priority="5" aboveAverage="0" equalAverage="0" bottom="0" percent="0" rank="0" text="" dxfId="3">
      <formula>$N5="Break"</formula>
    </cfRule>
    <cfRule type="expression" priority="6" aboveAverage="0" equalAverage="0" bottom="0" percent="0" rank="0" text="" dxfId="4">
      <formula>$N5="Settled"</formula>
    </cfRule>
  </conditionalFormatting>
  <conditionalFormatting sqref="R5:R104">
    <cfRule type="colorScale" priority="7">
      <colorScale>
        <cfvo type="num" val="0"/>
        <cfvo type="num" val="10"/>
        <cfvo type="num" val="25"/>
        <color rgb="FF10B981"/>
        <color rgb="FFF59E0B"/>
        <color rgb="FFEF44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true" outlineLevel="0" collapsed="false">
      <c r="A1" s="11" t="s">
        <v>209</v>
      </c>
      <c r="B1" s="12" t="n">
        <f aca="true">TODAY()</f>
        <v>46181</v>
      </c>
    </row>
    <row r="3" customFormat="false" ht="15" hidden="false" customHeight="true" outlineLevel="0" collapsed="false">
      <c r="A3" s="1" t="s">
        <v>5</v>
      </c>
      <c r="B3" s="1" t="s">
        <v>210</v>
      </c>
    </row>
    <row r="4" customFormat="false" ht="15" hidden="false" customHeight="true" outlineLevel="0" collapsed="false">
      <c r="A4" s="1" t="s">
        <v>24</v>
      </c>
      <c r="B4" s="1" t="n">
        <v>1</v>
      </c>
    </row>
    <row r="5" customFormat="false" ht="15" hidden="false" customHeight="true" outlineLevel="0" collapsed="false">
      <c r="A5" s="1" t="s">
        <v>37</v>
      </c>
      <c r="B5" s="1" t="n">
        <v>1.5</v>
      </c>
    </row>
    <row r="6" customFormat="false" ht="15" hidden="false" customHeight="true" outlineLevel="0" collapsed="false">
      <c r="A6" s="1" t="s">
        <v>86</v>
      </c>
      <c r="B6" s="1" t="n">
        <v>2</v>
      </c>
    </row>
    <row r="7" customFormat="false" ht="15" hidden="false" customHeight="true" outlineLevel="0" collapsed="false">
      <c r="A7" s="1" t="s">
        <v>67</v>
      </c>
      <c r="B7" s="1" t="n">
        <v>2.5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45"/>
    <col collapsed="false" customWidth="true" hidden="false" outlineLevel="0" max="4" min="4" style="1" width="40"/>
    <col collapsed="false" customWidth="true" hidden="false" outlineLevel="0" max="5" min="5" style="1" width="28"/>
    <col collapsed="false" customWidth="true" hidden="false" outlineLevel="0" max="6" min="6" style="1" width="35"/>
    <col collapsed="false" customWidth="true" hidden="false" outlineLevel="0" max="7" min="7" style="1" width="40"/>
    <col collapsed="false" customWidth="true" hidden="false" outlineLevel="0" max="8" min="8" style="1" width="35"/>
  </cols>
  <sheetData>
    <row r="1" customFormat="false" ht="15" hidden="false" customHeight="true" outlineLevel="0" collapsed="false">
      <c r="A1" s="13" t="s">
        <v>211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14" t="s">
        <v>212</v>
      </c>
      <c r="B3" s="14" t="s">
        <v>213</v>
      </c>
      <c r="C3" s="14" t="s">
        <v>214</v>
      </c>
      <c r="D3" s="14" t="s">
        <v>215</v>
      </c>
      <c r="E3" s="14" t="s">
        <v>216</v>
      </c>
      <c r="F3" s="14" t="s">
        <v>217</v>
      </c>
      <c r="G3" s="14" t="s">
        <v>218</v>
      </c>
      <c r="H3" s="14" t="s">
        <v>219</v>
      </c>
    </row>
    <row r="4" customFormat="false" ht="15" hidden="false" customHeight="true" outlineLevel="0" collapsed="false">
      <c r="A4" s="15" t="s">
        <v>220</v>
      </c>
      <c r="B4" s="15" t="s">
        <v>221</v>
      </c>
      <c r="C4" s="15" t="s">
        <v>222</v>
      </c>
      <c r="D4" s="15" t="s">
        <v>223</v>
      </c>
      <c r="E4" s="15" t="s">
        <v>224</v>
      </c>
      <c r="F4" s="15" t="s">
        <v>225</v>
      </c>
      <c r="G4" s="15" t="s">
        <v>226</v>
      </c>
      <c r="H4" s="15" t="s">
        <v>227</v>
      </c>
    </row>
    <row r="5" customFormat="false" ht="15" hidden="false" customHeight="true" outlineLevel="0" collapsed="false">
      <c r="A5" s="15" t="s">
        <v>228</v>
      </c>
      <c r="B5" s="15" t="s">
        <v>229</v>
      </c>
      <c r="C5" s="15" t="s">
        <v>230</v>
      </c>
      <c r="D5" s="15" t="s">
        <v>231</v>
      </c>
      <c r="E5" s="15" t="s">
        <v>232</v>
      </c>
      <c r="F5" s="15" t="s">
        <v>233</v>
      </c>
      <c r="G5" s="15" t="s">
        <v>234</v>
      </c>
      <c r="H5" s="15" t="s">
        <v>235</v>
      </c>
    </row>
    <row r="6" customFormat="false" ht="15" hidden="false" customHeight="true" outlineLevel="0" collapsed="false">
      <c r="A6" s="15" t="s">
        <v>236</v>
      </c>
      <c r="B6" s="15" t="s">
        <v>237</v>
      </c>
      <c r="C6" s="15" t="s">
        <v>238</v>
      </c>
      <c r="D6" s="15" t="s">
        <v>239</v>
      </c>
      <c r="E6" s="15" t="s">
        <v>240</v>
      </c>
      <c r="F6" s="15" t="s">
        <v>241</v>
      </c>
      <c r="G6" s="15" t="s">
        <v>242</v>
      </c>
      <c r="H6" s="15" t="s">
        <v>243</v>
      </c>
    </row>
    <row r="7" customFormat="false" ht="15" hidden="false" customHeight="true" outlineLevel="0" collapsed="false">
      <c r="A7" s="15" t="s">
        <v>244</v>
      </c>
      <c r="B7" s="15" t="s">
        <v>245</v>
      </c>
      <c r="C7" s="15" t="s">
        <v>246</v>
      </c>
      <c r="D7" s="15" t="s">
        <v>247</v>
      </c>
      <c r="E7" s="15" t="s">
        <v>248</v>
      </c>
      <c r="F7" s="15" t="s">
        <v>249</v>
      </c>
      <c r="G7" s="15" t="s">
        <v>250</v>
      </c>
      <c r="H7" s="15" t="s">
        <v>251</v>
      </c>
    </row>
    <row r="8" customFormat="false" ht="15" hidden="false" customHeight="true" outlineLevel="0" collapsed="false">
      <c r="A8" s="15" t="s">
        <v>252</v>
      </c>
      <c r="B8" s="15" t="s">
        <v>253</v>
      </c>
      <c r="C8" s="15" t="s">
        <v>254</v>
      </c>
      <c r="D8" s="15" t="s">
        <v>255</v>
      </c>
      <c r="E8" s="15" t="s">
        <v>256</v>
      </c>
      <c r="F8" s="15" t="s">
        <v>257</v>
      </c>
      <c r="G8" s="15" t="s">
        <v>258</v>
      </c>
      <c r="H8" s="15" t="s">
        <v>259</v>
      </c>
    </row>
    <row r="9" customFormat="false" ht="15" hidden="false" customHeight="true" outlineLevel="0" collapsed="false">
      <c r="A9" s="15" t="s">
        <v>260</v>
      </c>
      <c r="B9" s="15" t="s">
        <v>261</v>
      </c>
      <c r="C9" s="15" t="s">
        <v>262</v>
      </c>
      <c r="D9" s="15" t="s">
        <v>263</v>
      </c>
      <c r="E9" s="15" t="s">
        <v>264</v>
      </c>
      <c r="F9" s="15" t="s">
        <v>265</v>
      </c>
      <c r="G9" s="15" t="s">
        <v>266</v>
      </c>
      <c r="H9" s="15" t="s">
        <v>267</v>
      </c>
    </row>
    <row r="10" customFormat="false" ht="15" hidden="false" customHeight="true" outlineLevel="0" collapsed="false">
      <c r="A10" s="15" t="s">
        <v>268</v>
      </c>
      <c r="B10" s="15" t="s">
        <v>269</v>
      </c>
      <c r="C10" s="15" t="s">
        <v>270</v>
      </c>
      <c r="D10" s="15" t="s">
        <v>271</v>
      </c>
      <c r="E10" s="15" t="s">
        <v>272</v>
      </c>
      <c r="F10" s="15" t="s">
        <v>273</v>
      </c>
      <c r="G10" s="15" t="s">
        <v>274</v>
      </c>
      <c r="H10" s="15" t="s">
        <v>275</v>
      </c>
    </row>
    <row r="11" customFormat="false" ht="15" hidden="false" customHeight="true" outlineLevel="0" collapsed="false">
      <c r="A11" s="15" t="s">
        <v>276</v>
      </c>
      <c r="B11" s="15" t="s">
        <v>277</v>
      </c>
      <c r="C11" s="15" t="s">
        <v>278</v>
      </c>
      <c r="D11" s="15" t="s">
        <v>279</v>
      </c>
      <c r="E11" s="15" t="s">
        <v>280</v>
      </c>
      <c r="F11" s="15" t="s">
        <v>281</v>
      </c>
      <c r="G11" s="15" t="s">
        <v>282</v>
      </c>
      <c r="H11" s="15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50"/>
    <col collapsed="false" customWidth="true" hidden="false" outlineLevel="0" max="3" min="3" style="1" width="14"/>
    <col collapsed="false" customWidth="true" hidden="false" outlineLevel="0" max="4" min="4" style="1" width="55"/>
    <col collapsed="false" customWidth="true" hidden="false" outlineLevel="0" max="5" min="5" style="1" width="12"/>
  </cols>
  <sheetData>
    <row r="1" customFormat="false" ht="15" hidden="false" customHeight="true" outlineLevel="0" collapsed="false">
      <c r="A1" s="13" t="s">
        <v>284</v>
      </c>
      <c r="B1" s="3"/>
      <c r="C1" s="3"/>
      <c r="D1" s="3"/>
      <c r="E1" s="3"/>
    </row>
    <row r="2" customFormat="false" ht="15" hidden="false" customHeight="true" outlineLevel="0" collapsed="false">
      <c r="A2" s="3"/>
      <c r="B2" s="3"/>
      <c r="C2" s="3"/>
      <c r="D2" s="3"/>
      <c r="E2" s="3"/>
    </row>
    <row r="3" customFormat="false" ht="15" hidden="false" customHeight="true" outlineLevel="0" collapsed="false">
      <c r="A3" s="14" t="s">
        <v>16</v>
      </c>
      <c r="B3" s="14" t="s">
        <v>214</v>
      </c>
      <c r="C3" s="14" t="s">
        <v>18</v>
      </c>
      <c r="D3" s="14" t="s">
        <v>285</v>
      </c>
      <c r="E3" s="14" t="s">
        <v>286</v>
      </c>
    </row>
    <row r="4" customFormat="false" ht="15" hidden="false" customHeight="true" outlineLevel="0" collapsed="false">
      <c r="A4" s="15" t="s">
        <v>44</v>
      </c>
      <c r="B4" s="15" t="s">
        <v>287</v>
      </c>
      <c r="C4" s="16" t="n">
        <v>8</v>
      </c>
      <c r="D4" s="15" t="s">
        <v>288</v>
      </c>
      <c r="E4" s="15" t="s">
        <v>289</v>
      </c>
    </row>
    <row r="5" customFormat="false" ht="15" hidden="false" customHeight="true" outlineLevel="0" collapsed="false">
      <c r="A5" s="15" t="s">
        <v>125</v>
      </c>
      <c r="B5" s="15" t="s">
        <v>290</v>
      </c>
      <c r="C5" s="16" t="n">
        <v>10</v>
      </c>
      <c r="D5" s="15" t="s">
        <v>291</v>
      </c>
      <c r="E5" s="15" t="s">
        <v>292</v>
      </c>
    </row>
    <row r="6" customFormat="false" ht="15" hidden="false" customHeight="true" outlineLevel="0" collapsed="false">
      <c r="A6" s="15" t="s">
        <v>146</v>
      </c>
      <c r="B6" s="15" t="s">
        <v>293</v>
      </c>
      <c r="C6" s="16" t="n">
        <v>7</v>
      </c>
      <c r="D6" s="15" t="s">
        <v>294</v>
      </c>
      <c r="E6" s="15" t="s">
        <v>289</v>
      </c>
    </row>
    <row r="7" customFormat="false" ht="15" hidden="false" customHeight="true" outlineLevel="0" collapsed="false">
      <c r="A7" s="15" t="s">
        <v>172</v>
      </c>
      <c r="B7" s="15" t="s">
        <v>295</v>
      </c>
      <c r="C7" s="16" t="n">
        <v>6</v>
      </c>
      <c r="D7" s="15" t="s">
        <v>296</v>
      </c>
      <c r="E7" s="15" t="s">
        <v>297</v>
      </c>
    </row>
    <row r="8" customFormat="false" ht="15" hidden="false" customHeight="true" outlineLevel="0" collapsed="false">
      <c r="A8" s="15" t="s">
        <v>176</v>
      </c>
      <c r="B8" s="15" t="s">
        <v>298</v>
      </c>
      <c r="C8" s="16" t="n">
        <v>5</v>
      </c>
      <c r="D8" s="15" t="s">
        <v>299</v>
      </c>
      <c r="E8" s="15" t="s">
        <v>297</v>
      </c>
    </row>
    <row r="9" customFormat="false" ht="15" hidden="false" customHeight="true" outlineLevel="0" collapsed="false">
      <c r="A9" s="15" t="s">
        <v>179</v>
      </c>
      <c r="B9" s="15" t="s">
        <v>300</v>
      </c>
      <c r="C9" s="16" t="n">
        <v>4</v>
      </c>
      <c r="D9" s="15" t="s">
        <v>301</v>
      </c>
      <c r="E9" s="15" t="s">
        <v>302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16"/>
    <col collapsed="false" customWidth="true" hidden="false" outlineLevel="0" max="8" min="8" style="1" width="20"/>
    <col collapsed="false" customWidth="true" hidden="false" outlineLevel="0" max="9" min="9" style="1" width="12"/>
    <col collapsed="false" customWidth="true" hidden="false" outlineLevel="0" max="10" min="10" style="1" width="18"/>
  </cols>
  <sheetData>
    <row r="1" customFormat="false" ht="15" hidden="false" customHeight="true" outlineLevel="0" collapsed="false">
      <c r="A1" s="2" t="s">
        <v>303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304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5" t="s">
        <v>305</v>
      </c>
      <c r="B4" s="5" t="s">
        <v>12</v>
      </c>
      <c r="C4" s="5" t="s">
        <v>306</v>
      </c>
      <c r="D4" s="5" t="s">
        <v>307</v>
      </c>
      <c r="E4" s="5" t="s">
        <v>308</v>
      </c>
      <c r="F4" s="5" t="s">
        <v>309</v>
      </c>
      <c r="G4" s="5" t="s">
        <v>310</v>
      </c>
      <c r="H4" s="5" t="s">
        <v>311</v>
      </c>
      <c r="I4" s="5" t="s">
        <v>312</v>
      </c>
      <c r="J4" s="5" t="s">
        <v>313</v>
      </c>
    </row>
    <row r="5" customFormat="false" ht="15" hidden="false" customHeight="true" outlineLevel="0" collapsed="false">
      <c r="A5" s="6" t="n">
        <f aca="false">RANK(J5,$J$5:$J$14,0)</f>
        <v>2</v>
      </c>
      <c r="B5" s="6" t="s">
        <v>28</v>
      </c>
      <c r="C5" s="6" t="n">
        <f aca="false">COUNTIF('Trade Database'!$K$5:$K$104,B5)</f>
        <v>11</v>
      </c>
      <c r="D5" s="6" t="n">
        <f aca="false">COUNTIFS('Trade Database'!$K$5:$K$104,B5,'Trade Database'!$N$5:$N$104,"Settled")</f>
        <v>9</v>
      </c>
      <c r="E5" s="6" t="n">
        <f aca="false">COUNTIFS('Trade Database'!$K$5:$K$104,B5,'Trade Database'!$N$5:$N$104,"Break")</f>
        <v>0</v>
      </c>
      <c r="F5" s="17" t="n">
        <f aca="false">IF(C5=0,0,E5/C5)</f>
        <v>0</v>
      </c>
      <c r="G5" s="18" t="n">
        <f aca="false">AVERAGEIFS('Trade Database'!$P$5:$P$104,'Trade Database'!$K$5:$K$104,B5,'Trade Database'!$N$5:$N$104,"&lt;&gt;Settled")</f>
        <v>441</v>
      </c>
      <c r="H5" s="17" t="n">
        <f aca="false">IF(C5=0,0,D5/C5)</f>
        <v>0.818181818181818</v>
      </c>
      <c r="I5" s="17" t="n">
        <f aca="false">IF(C5=0,0,D5/C5)</f>
        <v>0.818181818181818</v>
      </c>
      <c r="J5" s="17" t="n">
        <f aca="false">H5*0.5+I5*0.3+(1-F5)*0.2</f>
        <v>0.854545454545455</v>
      </c>
    </row>
    <row r="6" customFormat="false" ht="15" hidden="false" customHeight="true" outlineLevel="0" collapsed="false">
      <c r="A6" s="6" t="n">
        <f aca="false">RANK(J6,$J$5:$J$14,0)</f>
        <v>1</v>
      </c>
      <c r="B6" s="6" t="s">
        <v>52</v>
      </c>
      <c r="C6" s="6" t="n">
        <f aca="false">COUNTIF('Trade Database'!$K$5:$K$104,B6)</f>
        <v>12</v>
      </c>
      <c r="D6" s="6" t="n">
        <f aca="false">COUNTIFS('Trade Database'!$K$5:$K$104,B6,'Trade Database'!$N$5:$N$104,"Settled")</f>
        <v>11</v>
      </c>
      <c r="E6" s="6" t="n">
        <f aca="false">COUNTIFS('Trade Database'!$K$5:$K$104,B6,'Trade Database'!$N$5:$N$104,"Break")</f>
        <v>0</v>
      </c>
      <c r="F6" s="17" t="n">
        <f aca="false">IF(C6=0,0,E6/C6)</f>
        <v>0</v>
      </c>
      <c r="G6" s="18" t="n">
        <f aca="false">AVERAGEIFS('Trade Database'!$P$5:$P$104,'Trade Database'!$K$5:$K$104,B6,'Trade Database'!$N$5:$N$104,"&lt;&gt;Settled")</f>
        <v>383</v>
      </c>
      <c r="H6" s="17" t="n">
        <f aca="false">IF(C6=0,0,D6/C6)</f>
        <v>0.916666666666667</v>
      </c>
      <c r="I6" s="17" t="n">
        <f aca="false">IF(C6=0,0,D6/C6)</f>
        <v>0.916666666666667</v>
      </c>
      <c r="J6" s="17" t="n">
        <f aca="false">H6*0.5+I6*0.3+(1-F6)*0.2</f>
        <v>0.933333333333333</v>
      </c>
    </row>
    <row r="7" customFormat="false" ht="15" hidden="false" customHeight="true" outlineLevel="0" collapsed="false">
      <c r="A7" s="6" t="n">
        <f aca="false">RANK(J7,$J$5:$J$14,0)</f>
        <v>10</v>
      </c>
      <c r="B7" s="6" t="s">
        <v>62</v>
      </c>
      <c r="C7" s="6" t="n">
        <f aca="false">COUNTIF('Trade Database'!$K$5:$K$104,B7)</f>
        <v>7</v>
      </c>
      <c r="D7" s="6" t="n">
        <f aca="false">COUNTIFS('Trade Database'!$K$5:$K$104,B7,'Trade Database'!$N$5:$N$104,"Settled")</f>
        <v>3</v>
      </c>
      <c r="E7" s="6" t="n">
        <f aca="false">COUNTIFS('Trade Database'!$K$5:$K$104,B7,'Trade Database'!$N$5:$N$104,"Break")</f>
        <v>1</v>
      </c>
      <c r="F7" s="17" t="n">
        <f aca="false">IF(C7=0,0,E7/C7)</f>
        <v>0.142857142857143</v>
      </c>
      <c r="G7" s="18" t="n">
        <f aca="false">AVERAGEIFS('Trade Database'!$P$5:$P$104,'Trade Database'!$K$5:$K$104,B7,'Trade Database'!$N$5:$N$104,"&lt;&gt;Settled")</f>
        <v>472.75</v>
      </c>
      <c r="H7" s="17" t="n">
        <f aca="false">IF(C7=0,0,D7/C7)</f>
        <v>0.428571428571429</v>
      </c>
      <c r="I7" s="17" t="n">
        <f aca="false">IF(C7=0,0,D7/C7)</f>
        <v>0.428571428571429</v>
      </c>
      <c r="J7" s="17" t="n">
        <f aca="false">H7*0.5+I7*0.3+(1-F7)*0.2</f>
        <v>0.514285714285714</v>
      </c>
    </row>
    <row r="8" customFormat="false" ht="15" hidden="false" customHeight="true" outlineLevel="0" collapsed="false">
      <c r="A8" s="6" t="n">
        <f aca="false">RANK(J8,$J$5:$J$14,0)</f>
        <v>3</v>
      </c>
      <c r="B8" s="6" t="s">
        <v>40</v>
      </c>
      <c r="C8" s="6" t="n">
        <f aca="false">COUNTIF('Trade Database'!$K$5:$K$104,B8)</f>
        <v>10</v>
      </c>
      <c r="D8" s="6" t="n">
        <f aca="false">COUNTIFS('Trade Database'!$K$5:$K$104,B8,'Trade Database'!$N$5:$N$104,"Settled")</f>
        <v>8</v>
      </c>
      <c r="E8" s="6" t="n">
        <f aca="false">COUNTIFS('Trade Database'!$K$5:$K$104,B8,'Trade Database'!$N$5:$N$104,"Break")</f>
        <v>1</v>
      </c>
      <c r="F8" s="17" t="n">
        <f aca="false">IF(C8=0,0,E8/C8)</f>
        <v>0.1</v>
      </c>
      <c r="G8" s="18" t="n">
        <f aca="false">AVERAGEIFS('Trade Database'!$P$5:$P$104,'Trade Database'!$K$5:$K$104,B8,'Trade Database'!$N$5:$N$104,"&lt;&gt;Settled")</f>
        <v>473.5</v>
      </c>
      <c r="H8" s="17" t="n">
        <f aca="false">IF(C8=0,0,D8/C8)</f>
        <v>0.8</v>
      </c>
      <c r="I8" s="17" t="n">
        <f aca="false">IF(C8=0,0,D8/C8)</f>
        <v>0.8</v>
      </c>
      <c r="J8" s="17" t="n">
        <f aca="false">H8*0.5+I8*0.3+(1-F8)*0.2</f>
        <v>0.82</v>
      </c>
    </row>
    <row r="9" customFormat="false" ht="15" hidden="false" customHeight="true" outlineLevel="0" collapsed="false">
      <c r="A9" s="6" t="n">
        <f aca="false">RANK(J9,$J$5:$J$14,0)</f>
        <v>6</v>
      </c>
      <c r="B9" s="6" t="s">
        <v>35</v>
      </c>
      <c r="C9" s="6" t="n">
        <f aca="false">COUNTIF('Trade Database'!$K$5:$K$104,B9)</f>
        <v>8</v>
      </c>
      <c r="D9" s="6" t="n">
        <f aca="false">COUNTIFS('Trade Database'!$K$5:$K$104,B9,'Trade Database'!$N$5:$N$104,"Settled")</f>
        <v>6</v>
      </c>
      <c r="E9" s="6" t="n">
        <f aca="false">COUNTIFS('Trade Database'!$K$5:$K$104,B9,'Trade Database'!$N$5:$N$104,"Break")</f>
        <v>1</v>
      </c>
      <c r="F9" s="17" t="n">
        <f aca="false">IF(C9=0,0,E9/C9)</f>
        <v>0.125</v>
      </c>
      <c r="G9" s="18" t="n">
        <f aca="false">AVERAGEIFS('Trade Database'!$P$5:$P$104,'Trade Database'!$K$5:$K$104,B9,'Trade Database'!$N$5:$N$104,"&lt;&gt;Settled")</f>
        <v>418</v>
      </c>
      <c r="H9" s="17" t="n">
        <f aca="false">IF(C9=0,0,D9/C9)</f>
        <v>0.75</v>
      </c>
      <c r="I9" s="17" t="n">
        <f aca="false">IF(C9=0,0,D9/C9)</f>
        <v>0.75</v>
      </c>
      <c r="J9" s="17" t="n">
        <f aca="false">H9*0.5+I9*0.3+(1-F9)*0.2</f>
        <v>0.775</v>
      </c>
    </row>
    <row r="10" customFormat="false" ht="15" hidden="false" customHeight="true" outlineLevel="0" collapsed="false">
      <c r="A10" s="6" t="n">
        <f aca="false">RANK(J10,$J$5:$J$14,0)</f>
        <v>6</v>
      </c>
      <c r="B10" s="6" t="s">
        <v>41</v>
      </c>
      <c r="C10" s="6" t="n">
        <f aca="false">COUNTIF('Trade Database'!$K$5:$K$104,B10)</f>
        <v>8</v>
      </c>
      <c r="D10" s="6" t="n">
        <f aca="false">COUNTIFS('Trade Database'!$K$5:$K$104,B10,'Trade Database'!$N$5:$N$104,"Settled")</f>
        <v>6</v>
      </c>
      <c r="E10" s="6" t="n">
        <f aca="false">COUNTIFS('Trade Database'!$K$5:$K$104,B10,'Trade Database'!$N$5:$N$104,"Break")</f>
        <v>1</v>
      </c>
      <c r="F10" s="17" t="n">
        <f aca="false">IF(C10=0,0,E10/C10)</f>
        <v>0.125</v>
      </c>
      <c r="G10" s="18" t="n">
        <f aca="false">AVERAGEIFS('Trade Database'!$P$5:$P$104,'Trade Database'!$K$5:$K$104,B10,'Trade Database'!$N$5:$N$104,"&lt;&gt;Settled")</f>
        <v>499</v>
      </c>
      <c r="H10" s="17" t="n">
        <f aca="false">IF(C10=0,0,D10/C10)</f>
        <v>0.75</v>
      </c>
      <c r="I10" s="17" t="n">
        <f aca="false">IF(C10=0,0,D10/C10)</f>
        <v>0.75</v>
      </c>
      <c r="J10" s="17" t="n">
        <f aca="false">H10*0.5+I10*0.3+(1-F10)*0.2</f>
        <v>0.775</v>
      </c>
    </row>
    <row r="11" customFormat="false" ht="15" hidden="false" customHeight="true" outlineLevel="0" collapsed="false">
      <c r="A11" s="6" t="n">
        <f aca="false">RANK(J11,$J$5:$J$14,0)</f>
        <v>5</v>
      </c>
      <c r="B11" s="6" t="s">
        <v>56</v>
      </c>
      <c r="C11" s="6" t="n">
        <f aca="false">COUNTIF('Trade Database'!$K$5:$K$104,B11)</f>
        <v>12</v>
      </c>
      <c r="D11" s="6" t="n">
        <f aca="false">COUNTIFS('Trade Database'!$K$5:$K$104,B11,'Trade Database'!$N$5:$N$104,"Settled")</f>
        <v>9</v>
      </c>
      <c r="E11" s="6" t="n">
        <f aca="false">COUNTIFS('Trade Database'!$K$5:$K$104,B11,'Trade Database'!$N$5:$N$104,"Break")</f>
        <v>1</v>
      </c>
      <c r="F11" s="17" t="n">
        <f aca="false">IF(C11=0,0,E11/C11)</f>
        <v>0.0833333333333333</v>
      </c>
      <c r="G11" s="18" t="n">
        <f aca="false">AVERAGEIFS('Trade Database'!$P$5:$P$104,'Trade Database'!$K$5:$K$104,B11,'Trade Database'!$N$5:$N$104,"&lt;&gt;Settled")</f>
        <v>439.333333333333</v>
      </c>
      <c r="H11" s="17" t="n">
        <f aca="false">IF(C11=0,0,D11/C11)</f>
        <v>0.75</v>
      </c>
      <c r="I11" s="17" t="n">
        <f aca="false">IF(C11=0,0,D11/C11)</f>
        <v>0.75</v>
      </c>
      <c r="J11" s="17" t="n">
        <f aca="false">H11*0.5+I11*0.3+(1-F11)*0.2</f>
        <v>0.783333333333333</v>
      </c>
    </row>
    <row r="12" customFormat="false" ht="15" hidden="false" customHeight="true" outlineLevel="0" collapsed="false">
      <c r="A12" s="6" t="n">
        <f aca="false">RANK(J12,$J$5:$J$14,0)</f>
        <v>4</v>
      </c>
      <c r="B12" s="6" t="s">
        <v>48</v>
      </c>
      <c r="C12" s="6" t="n">
        <f aca="false">COUNTIF('Trade Database'!$K$5:$K$104,B12)</f>
        <v>11</v>
      </c>
      <c r="D12" s="6" t="n">
        <f aca="false">COUNTIFS('Trade Database'!$K$5:$K$104,B12,'Trade Database'!$N$5:$N$104,"Settled")</f>
        <v>9</v>
      </c>
      <c r="E12" s="6" t="n">
        <f aca="false">COUNTIFS('Trade Database'!$K$5:$K$104,B12,'Trade Database'!$N$5:$N$104,"Break")</f>
        <v>2</v>
      </c>
      <c r="F12" s="17" t="n">
        <f aca="false">IF(C12=0,0,E12/C12)</f>
        <v>0.181818181818182</v>
      </c>
      <c r="G12" s="18" t="n">
        <f aca="false">AVERAGEIFS('Trade Database'!$P$5:$P$104,'Trade Database'!$K$5:$K$104,B12,'Trade Database'!$N$5:$N$104,"&lt;&gt;Settled")</f>
        <v>457.5</v>
      </c>
      <c r="H12" s="17" t="n">
        <f aca="false">IF(C12=0,0,D12/C12)</f>
        <v>0.818181818181818</v>
      </c>
      <c r="I12" s="17" t="n">
        <f aca="false">IF(C12=0,0,D12/C12)</f>
        <v>0.818181818181818</v>
      </c>
      <c r="J12" s="17" t="n">
        <f aca="false">H12*0.5+I12*0.3+(1-F12)*0.2</f>
        <v>0.818181818181818</v>
      </c>
    </row>
    <row r="13" customFormat="false" ht="15" hidden="false" customHeight="true" outlineLevel="0" collapsed="false">
      <c r="A13" s="6" t="n">
        <f aca="false">RANK(J13,$J$5:$J$14,0)</f>
        <v>9</v>
      </c>
      <c r="B13" s="6" t="s">
        <v>57</v>
      </c>
      <c r="C13" s="6" t="n">
        <f aca="false">COUNTIF('Trade Database'!$K$5:$K$104,B13)</f>
        <v>10</v>
      </c>
      <c r="D13" s="6" t="n">
        <f aca="false">COUNTIFS('Trade Database'!$K$5:$K$104,B13,'Trade Database'!$N$5:$N$104,"Settled")</f>
        <v>6</v>
      </c>
      <c r="E13" s="6" t="n">
        <f aca="false">COUNTIFS('Trade Database'!$K$5:$K$104,B13,'Trade Database'!$N$5:$N$104,"Break")</f>
        <v>1</v>
      </c>
      <c r="F13" s="17" t="n">
        <f aca="false">IF(C13=0,0,E13/C13)</f>
        <v>0.1</v>
      </c>
      <c r="G13" s="18" t="n">
        <f aca="false">AVERAGEIFS('Trade Database'!$P$5:$P$104,'Trade Database'!$K$5:$K$104,B13,'Trade Database'!$N$5:$N$104,"&lt;&gt;Settled")</f>
        <v>434.75</v>
      </c>
      <c r="H13" s="17" t="n">
        <f aca="false">IF(C13=0,0,D13/C13)</f>
        <v>0.6</v>
      </c>
      <c r="I13" s="17" t="n">
        <f aca="false">IF(C13=0,0,D13/C13)</f>
        <v>0.6</v>
      </c>
      <c r="J13" s="17" t="n">
        <f aca="false">H13*0.5+I13*0.3+(1-F13)*0.2</f>
        <v>0.66</v>
      </c>
    </row>
    <row r="14" customFormat="false" ht="15" hidden="false" customHeight="true" outlineLevel="0" collapsed="false">
      <c r="A14" s="6" t="n">
        <f aca="false">RANK(J14,$J$5:$J$14,0)</f>
        <v>8</v>
      </c>
      <c r="B14" s="6" t="s">
        <v>29</v>
      </c>
      <c r="C14" s="6" t="n">
        <f aca="false">COUNTIF('Trade Database'!$K$5:$K$104,B14)</f>
        <v>11</v>
      </c>
      <c r="D14" s="6" t="n">
        <f aca="false">COUNTIFS('Trade Database'!$K$5:$K$104,B14,'Trade Database'!$N$5:$N$104,"Settled")</f>
        <v>8</v>
      </c>
      <c r="E14" s="6" t="n">
        <f aca="false">COUNTIFS('Trade Database'!$K$5:$K$104,B14,'Trade Database'!$N$5:$N$104,"Break")</f>
        <v>2</v>
      </c>
      <c r="F14" s="17" t="n">
        <f aca="false">IF(C14=0,0,E14/C14)</f>
        <v>0.181818181818182</v>
      </c>
      <c r="G14" s="18" t="n">
        <f aca="false">AVERAGEIFS('Trade Database'!$P$5:$P$104,'Trade Database'!$K$5:$K$104,B14,'Trade Database'!$N$5:$N$104,"&lt;&gt;Settled")</f>
        <v>436</v>
      </c>
      <c r="H14" s="17" t="n">
        <f aca="false">IF(C14=0,0,D14/C14)</f>
        <v>0.727272727272727</v>
      </c>
      <c r="I14" s="17" t="n">
        <f aca="false">IF(C14=0,0,D14/C14)</f>
        <v>0.727272727272727</v>
      </c>
      <c r="J14" s="17" t="n">
        <f aca="false">H14*0.5+I14*0.3+(1-F14)*0.2</f>
        <v>0.745454545454545</v>
      </c>
    </row>
  </sheetData>
  <conditionalFormatting sqref="J5:J14">
    <cfRule type="colorScale" priority="2">
      <colorScale>
        <cfvo type="num" val="0"/>
        <cfvo type="num" val="0.5"/>
        <cfvo type="num" val="1"/>
        <color rgb="FFEF4444"/>
        <color rgb="FFF59E0B"/>
        <color rgb="FF10B981"/>
      </colorScale>
    </cfRule>
  </conditionalFormatting>
  <conditionalFormatting sqref="A5:A14">
    <cfRule type="cellIs" priority="3" operator="lessThanOrEqual" aboveAverage="0" equalAverage="0" bottom="0" percent="0" rank="0" text="" dxfId="4">
      <formula>3</formula>
    </cfRule>
    <cfRule type="cellIs" priority="4" operator="greaterThanOrEqual" aboveAverage="0" equalAverage="0" bottom="0" percent="0" rank="0" text="" dxfId="3">
      <formula>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true" outlineLevel="0" collapsed="false">
      <c r="A1" s="2" t="s">
        <v>314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315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19" t="s">
        <v>316</v>
      </c>
      <c r="B4" s="3"/>
      <c r="C4" s="3"/>
      <c r="D4" s="3"/>
      <c r="E4" s="3"/>
      <c r="F4" s="3"/>
      <c r="G4" s="19" t="s">
        <v>317</v>
      </c>
      <c r="H4" s="3"/>
      <c r="I4" s="3"/>
      <c r="J4" s="3"/>
    </row>
    <row r="5" customFormat="false" ht="15" hidden="false" customHeight="true" outlineLevel="0" collapsed="false">
      <c r="A5" s="20" t="s">
        <v>12</v>
      </c>
      <c r="B5" s="20" t="s">
        <v>318</v>
      </c>
      <c r="C5" s="20" t="s">
        <v>319</v>
      </c>
      <c r="D5" s="20" t="s">
        <v>320</v>
      </c>
      <c r="E5" s="3"/>
      <c r="F5" s="3"/>
      <c r="G5" s="20" t="s">
        <v>5</v>
      </c>
      <c r="H5" s="20" t="s">
        <v>318</v>
      </c>
      <c r="I5" s="20" t="s">
        <v>319</v>
      </c>
      <c r="J5" s="20" t="s">
        <v>320</v>
      </c>
    </row>
    <row r="6" customFormat="false" ht="15" hidden="false" customHeight="true" outlineLevel="0" collapsed="false">
      <c r="A6" s="6" t="s">
        <v>28</v>
      </c>
      <c r="B6" s="10" t="n">
        <f aca="false">COUNTIFS('Trade Database'!$K$5:$K$104,A6,'Trade Database'!$N$5:$N$104,"Break")</f>
        <v>0</v>
      </c>
      <c r="C6" s="8" t="n">
        <f aca="false">SUMIFS('Trade Database'!$J$5:$J$104,'Trade Database'!$K$5:$K$104,A6,'Trade Database'!$N$5:$N$104,"Break")</f>
        <v>0</v>
      </c>
      <c r="D6" s="18" t="n">
        <f aca="false">IFERROR(AVERAGEIFS('Trade Database'!$Q$5:$Q$104,'Trade Database'!$K$5:$K$104,A6,'Trade Database'!$N$5:$N$104,"Break"),0)</f>
        <v>0</v>
      </c>
      <c r="E6" s="3"/>
      <c r="F6" s="3"/>
      <c r="G6" s="6" t="s">
        <v>24</v>
      </c>
      <c r="H6" s="6" t="n">
        <f aca="false">COUNTIFS('Trade Database'!$D$5:$D$104,G6,'Trade Database'!$N$5:$N$104,"Break")</f>
        <v>4</v>
      </c>
      <c r="I6" s="8" t="n">
        <f aca="false">SUMIFS('Trade Database'!$J$5:$J$104,'Trade Database'!$D$5:$D$104,G6,'Trade Database'!$N$5:$N$104,"Break")</f>
        <v>5453831</v>
      </c>
      <c r="J6" s="18" t="n">
        <f aca="false">IFERROR(AVERAGEIFS('Trade Database'!$Q$5:$Q$104,'Trade Database'!$D$5:$D$104,G6,'Trade Database'!$N$5:$N$104,"Break"),0)</f>
        <v>7</v>
      </c>
    </row>
    <row r="7" customFormat="false" ht="15" hidden="false" customHeight="true" outlineLevel="0" collapsed="false">
      <c r="A7" s="6" t="s">
        <v>52</v>
      </c>
      <c r="B7" s="10" t="n">
        <f aca="false">COUNTIFS('Trade Database'!$K$5:$K$104,A7,'Trade Database'!$N$5:$N$104,"Break")</f>
        <v>0</v>
      </c>
      <c r="C7" s="8" t="n">
        <f aca="false">SUMIFS('Trade Database'!$J$5:$J$104,'Trade Database'!$K$5:$K$104,A7,'Trade Database'!$N$5:$N$104,"Break")</f>
        <v>0</v>
      </c>
      <c r="D7" s="18" t="n">
        <f aca="false">IFERROR(AVERAGEIFS('Trade Database'!$Q$5:$Q$104,'Trade Database'!$K$5:$K$104,A7,'Trade Database'!$N$5:$N$104,"Break"),0)</f>
        <v>0</v>
      </c>
      <c r="E7" s="3"/>
      <c r="F7" s="3"/>
      <c r="G7" s="6" t="s">
        <v>37</v>
      </c>
      <c r="H7" s="6" t="n">
        <f aca="false">COUNTIFS('Trade Database'!$D$5:$D$104,G7,'Trade Database'!$N$5:$N$104,"Break")</f>
        <v>3</v>
      </c>
      <c r="I7" s="8" t="n">
        <f aca="false">SUMIFS('Trade Database'!$J$5:$J$104,'Trade Database'!$D$5:$D$104,G7,'Trade Database'!$N$5:$N$104,"Break")</f>
        <v>2502850</v>
      </c>
      <c r="J7" s="18" t="n">
        <f aca="false">IFERROR(AVERAGEIFS('Trade Database'!$Q$5:$Q$104,'Trade Database'!$D$5:$D$104,G7,'Trade Database'!$N$5:$N$104,"Break"),0)</f>
        <v>6.33333333333333</v>
      </c>
    </row>
    <row r="8" customFormat="false" ht="15" hidden="false" customHeight="true" outlineLevel="0" collapsed="false">
      <c r="A8" s="6" t="s">
        <v>62</v>
      </c>
      <c r="B8" s="10" t="n">
        <f aca="false">COUNTIFS('Trade Database'!$K$5:$K$104,A8,'Trade Database'!$N$5:$N$104,"Break")</f>
        <v>1</v>
      </c>
      <c r="C8" s="8" t="n">
        <f aca="false">SUMIFS('Trade Database'!$J$5:$J$104,'Trade Database'!$K$5:$K$104,A8,'Trade Database'!$N$5:$N$104,"Break")</f>
        <v>2891.53</v>
      </c>
      <c r="D8" s="18" t="n">
        <f aca="false">IFERROR(AVERAGEIFS('Trade Database'!$Q$5:$Q$104,'Trade Database'!$K$5:$K$104,A8,'Trade Database'!$N$5:$N$104,"Break"),0)</f>
        <v>10</v>
      </c>
      <c r="E8" s="3"/>
      <c r="F8" s="3"/>
      <c r="G8" s="6" t="s">
        <v>86</v>
      </c>
      <c r="H8" s="6" t="n">
        <f aca="false">COUNTIFS('Trade Database'!$D$5:$D$104,G8,'Trade Database'!$N$5:$N$104,"Break")</f>
        <v>2</v>
      </c>
      <c r="I8" s="8" t="n">
        <f aca="false">SUMIFS('Trade Database'!$J$5:$J$104,'Trade Database'!$D$5:$D$104,G8,'Trade Database'!$N$5:$N$104,"Break")</f>
        <v>3071.91</v>
      </c>
      <c r="J8" s="18" t="n">
        <f aca="false">IFERROR(AVERAGEIFS('Trade Database'!$Q$5:$Q$104,'Trade Database'!$D$5:$D$104,G8,'Trade Database'!$N$5:$N$104,"Break"),0)</f>
        <v>8</v>
      </c>
    </row>
    <row r="9" customFormat="false" ht="15" hidden="false" customHeight="true" outlineLevel="0" collapsed="false">
      <c r="A9" s="6" t="s">
        <v>40</v>
      </c>
      <c r="B9" s="10" t="n">
        <f aca="false">COUNTIFS('Trade Database'!$K$5:$K$104,A9,'Trade Database'!$N$5:$N$104,"Break")</f>
        <v>1</v>
      </c>
      <c r="C9" s="8" t="n">
        <f aca="false">SUMIFS('Trade Database'!$J$5:$J$104,'Trade Database'!$K$5:$K$104,A9,'Trade Database'!$N$5:$N$104,"Break")</f>
        <v>497550</v>
      </c>
      <c r="D9" s="18" t="n">
        <f aca="false">IFERROR(AVERAGEIFS('Trade Database'!$Q$5:$Q$104,'Trade Database'!$K$5:$K$104,A9,'Trade Database'!$N$5:$N$104,"Break"),0)</f>
        <v>8</v>
      </c>
      <c r="E9" s="3"/>
      <c r="F9" s="3"/>
      <c r="G9" s="6" t="s">
        <v>67</v>
      </c>
      <c r="H9" s="6" t="n">
        <f aca="false">COUNTIFS('Trade Database'!$D$5:$D$104,G9,'Trade Database'!$N$5:$N$104,"Break")</f>
        <v>1</v>
      </c>
      <c r="I9" s="8" t="n">
        <f aca="false">SUMIFS('Trade Database'!$J$5:$J$104,'Trade Database'!$D$5:$D$104,G9,'Trade Database'!$N$5:$N$104,"Break")</f>
        <v>68.25</v>
      </c>
      <c r="J9" s="18" t="n">
        <f aca="false">IFERROR(AVERAGEIFS('Trade Database'!$Q$5:$Q$104,'Trade Database'!$D$5:$D$104,G9,'Trade Database'!$N$5:$N$104,"Break"),0)</f>
        <v>10</v>
      </c>
    </row>
    <row r="10" customFormat="false" ht="15" hidden="false" customHeight="true" outlineLevel="0" collapsed="false">
      <c r="A10" s="6" t="s">
        <v>35</v>
      </c>
      <c r="B10" s="10" t="n">
        <f aca="false">COUNTIFS('Trade Database'!$K$5:$K$104,A10,'Trade Database'!$N$5:$N$104,"Break")</f>
        <v>1</v>
      </c>
      <c r="C10" s="8" t="n">
        <f aca="false">SUMIFS('Trade Database'!$J$5:$J$104,'Trade Database'!$K$5:$K$104,A10,'Trade Database'!$N$5:$N$104,"Break")</f>
        <v>180.38</v>
      </c>
      <c r="D10" s="18" t="n">
        <f aca="false">IFERROR(AVERAGEIFS('Trade Database'!$Q$5:$Q$104,'Trade Database'!$K$5:$K$104,A10,'Trade Database'!$N$5:$N$104,"Break"),0)</f>
        <v>6</v>
      </c>
      <c r="E10" s="3"/>
      <c r="F10" s="3"/>
      <c r="G10" s="3"/>
      <c r="H10" s="3"/>
      <c r="I10" s="3"/>
      <c r="J10" s="3"/>
    </row>
    <row r="11" customFormat="false" ht="15" hidden="false" customHeight="true" outlineLevel="0" collapsed="false">
      <c r="A11" s="6" t="s">
        <v>41</v>
      </c>
      <c r="B11" s="10" t="n">
        <f aca="false">COUNTIFS('Trade Database'!$K$5:$K$104,A11,'Trade Database'!$N$5:$N$104,"Break")</f>
        <v>1</v>
      </c>
      <c r="C11" s="8" t="n">
        <f aca="false">SUMIFS('Trade Database'!$J$5:$J$104,'Trade Database'!$K$5:$K$104,A11,'Trade Database'!$N$5:$N$104,"Break")</f>
        <v>68.25</v>
      </c>
      <c r="D11" s="18" t="n">
        <f aca="false">IFERROR(AVERAGEIFS('Trade Database'!$Q$5:$Q$104,'Trade Database'!$K$5:$K$104,A11,'Trade Database'!$N$5:$N$104,"Break"),0)</f>
        <v>10</v>
      </c>
      <c r="E11" s="3"/>
      <c r="F11" s="3"/>
      <c r="G11" s="3"/>
      <c r="H11" s="3"/>
      <c r="I11" s="3"/>
      <c r="J11" s="3"/>
    </row>
    <row r="12" customFormat="false" ht="15" hidden="false" customHeight="true" outlineLevel="0" collapsed="false">
      <c r="A12" s="21" t="s">
        <v>321</v>
      </c>
      <c r="B12" s="10" t="n">
        <f aca="false">COUNTIFS('Trade Database'!$K$5:$K$104,A12,'Trade Database'!$N$5:$N$104,"Break")</f>
        <v>0</v>
      </c>
      <c r="C12" s="8" t="n">
        <f aca="false">SUMIFS('Trade Database'!$J$5:$J$104,'Trade Database'!$K$5:$K$104,A12,'Trade Database'!$N$5:$N$104,"Break")</f>
        <v>0</v>
      </c>
      <c r="D12" s="18" t="n">
        <f aca="false">IFERROR(AVERAGEIFS('Trade Database'!$Q$5:$Q$104,'Trade Database'!$K$5:$K$104,A12,'Trade Database'!$N$5:$N$104,"Break"),0)</f>
        <v>0</v>
      </c>
      <c r="E12" s="3"/>
      <c r="F12" s="3"/>
      <c r="G12" s="19" t="s">
        <v>322</v>
      </c>
      <c r="H12" s="3"/>
      <c r="I12" s="3"/>
      <c r="J12" s="3"/>
    </row>
    <row r="13" customFormat="false" ht="15" hidden="false" customHeight="true" outlineLevel="0" collapsed="false">
      <c r="A13" s="22" t="s">
        <v>16</v>
      </c>
      <c r="B13" s="22" t="s">
        <v>323</v>
      </c>
      <c r="C13" s="23" t="s">
        <v>319</v>
      </c>
      <c r="D13" s="24" t="s">
        <v>324</v>
      </c>
      <c r="E13" s="3"/>
      <c r="F13" s="3"/>
      <c r="G13" s="20" t="s">
        <v>325</v>
      </c>
      <c r="H13" s="20" t="s">
        <v>318</v>
      </c>
      <c r="I13" s="20" t="s">
        <v>306</v>
      </c>
      <c r="J13" s="20" t="s">
        <v>309</v>
      </c>
    </row>
    <row r="14" customFormat="false" ht="15" hidden="false" customHeight="true" outlineLevel="0" collapsed="false">
      <c r="A14" s="6" t="s">
        <v>44</v>
      </c>
      <c r="B14" s="10" t="n">
        <f aca="false">COUNTIF('Trade Database'!$O$5:$O$104,A14)</f>
        <v>3</v>
      </c>
      <c r="C14" s="8" t="n">
        <f aca="false">SUMIF('Trade Database'!$O$5:$O$104,A14,'Trade Database'!$J$5:$J$104)</f>
        <v>1728901</v>
      </c>
      <c r="D14" s="17" t="n">
        <f aca="false">IF($B$20=0,0,B14/$B$20)</f>
        <v>0.3</v>
      </c>
      <c r="E14" s="3"/>
      <c r="F14" s="3"/>
      <c r="G14" s="6" t="s">
        <v>326</v>
      </c>
      <c r="H14" s="10" t="n">
        <f aca="false">SUMPRODUCT((TEXT('Trade Database'!$B$5:$B$104,"MMM-YYYY")=G14)*('Trade Database'!$N$5:$N$104="Break"))</f>
        <v>4</v>
      </c>
      <c r="I14" s="6" t="n">
        <f aca="false">SUMPRODUCT((TEXT('Trade Database'!$B$5:$B$104,"MMM-YYYY")=G14)*1)</f>
        <v>15</v>
      </c>
      <c r="J14" s="17" t="n">
        <f aca="false">IF(I14=0,0,H14/I14)</f>
        <v>0.266666666666667</v>
      </c>
    </row>
    <row r="15" customFormat="false" ht="15" hidden="false" customHeight="true" outlineLevel="0" collapsed="false">
      <c r="A15" s="6" t="s">
        <v>125</v>
      </c>
      <c r="B15" s="10" t="n">
        <f aca="false">COUNTIF('Trade Database'!$O$5:$O$104,A15)</f>
        <v>2</v>
      </c>
      <c r="C15" s="8" t="n">
        <f aca="false">SUMIF('Trade Database'!$O$5:$O$104,A15,'Trade Database'!$J$5:$J$104)</f>
        <v>2959.78</v>
      </c>
      <c r="D15" s="17" t="n">
        <f aca="false">IF($B$20=0,0,B15/$B$20)</f>
        <v>0.2</v>
      </c>
      <c r="E15" s="3"/>
      <c r="F15" s="3"/>
      <c r="G15" s="6" t="s">
        <v>327</v>
      </c>
      <c r="H15" s="10" t="n">
        <f aca="false">SUMPRODUCT((TEXT('Trade Database'!$B$5:$B$104,"MMM-YYYY")=G15)*('Trade Database'!$N$5:$N$104="Break"))</f>
        <v>1</v>
      </c>
      <c r="I15" s="6" t="n">
        <f aca="false">SUMPRODUCT((TEXT('Trade Database'!$B$5:$B$104,"MMM-YYYY")=G15)*1)</f>
        <v>20</v>
      </c>
      <c r="J15" s="17" t="n">
        <f aca="false">IF(I15=0,0,H15/I15)</f>
        <v>0.05</v>
      </c>
    </row>
    <row r="16" customFormat="false" ht="15" hidden="false" customHeight="true" outlineLevel="0" collapsed="false">
      <c r="A16" s="6" t="s">
        <v>146</v>
      </c>
      <c r="B16" s="10" t="n">
        <f aca="false">COUNTIF('Trade Database'!$O$5:$O$104,A16)</f>
        <v>2</v>
      </c>
      <c r="C16" s="8" t="n">
        <f aca="false">SUMIF('Trade Database'!$O$5:$O$104,A16,'Trade Database'!$J$5:$J$104)</f>
        <v>1786060</v>
      </c>
      <c r="D16" s="17" t="n">
        <f aca="false">IF($B$20=0,0,B16/$B$20)</f>
        <v>0.2</v>
      </c>
      <c r="E16" s="3"/>
      <c r="F16" s="3"/>
      <c r="G16" s="6" t="s">
        <v>328</v>
      </c>
      <c r="H16" s="10" t="n">
        <f aca="false">SUMPRODUCT((TEXT('Trade Database'!$B$5:$B$104,"MMM-YYYY")=G16)*('Trade Database'!$N$5:$N$104="Break"))</f>
        <v>2</v>
      </c>
      <c r="I16" s="6" t="n">
        <f aca="false">SUMPRODUCT((TEXT('Trade Database'!$B$5:$B$104,"MMM-YYYY")=G16)*1)</f>
        <v>16</v>
      </c>
      <c r="J16" s="17" t="n">
        <f aca="false">IF(I16=0,0,H16/I16)</f>
        <v>0.125</v>
      </c>
    </row>
    <row r="17" customFormat="false" ht="15" hidden="false" customHeight="true" outlineLevel="0" collapsed="false">
      <c r="A17" s="6" t="s">
        <v>172</v>
      </c>
      <c r="B17" s="10" t="n">
        <f aca="false">COUNTIF('Trade Database'!$O$5:$O$104,A17)</f>
        <v>1</v>
      </c>
      <c r="C17" s="8" t="n">
        <f aca="false">SUMIF('Trade Database'!$O$5:$O$104,A17,'Trade Database'!$J$5:$J$104)</f>
        <v>180.38</v>
      </c>
      <c r="D17" s="17" t="n">
        <f aca="false">IF($B$20=0,0,B17/$B$20)</f>
        <v>0.1</v>
      </c>
      <c r="E17" s="3"/>
      <c r="F17" s="3"/>
      <c r="G17" s="6" t="s">
        <v>329</v>
      </c>
      <c r="H17" s="10" t="n">
        <f aca="false">SUMPRODUCT((TEXT('Trade Database'!$B$5:$B$104,"MMM-YYYY")=G17)*('Trade Database'!$N$5:$N$104="Break"))</f>
        <v>2</v>
      </c>
      <c r="I17" s="6" t="n">
        <f aca="false">SUMPRODUCT((TEXT('Trade Database'!$B$5:$B$104,"MMM-YYYY")=G17)*1)</f>
        <v>18</v>
      </c>
      <c r="J17" s="17" t="n">
        <f aca="false">IF(I17=0,0,H17/I17)</f>
        <v>0.111111111111111</v>
      </c>
    </row>
    <row r="18" customFormat="false" ht="15" hidden="false" customHeight="true" outlineLevel="0" collapsed="false">
      <c r="A18" s="6" t="s">
        <v>176</v>
      </c>
      <c r="B18" s="10" t="n">
        <f aca="false">COUNTIF('Trade Database'!$O$5:$O$104,A18)</f>
        <v>1</v>
      </c>
      <c r="C18" s="8" t="n">
        <f aca="false">SUMIF('Trade Database'!$O$5:$O$104,A18,'Trade Database'!$J$5:$J$104)</f>
        <v>3432720</v>
      </c>
      <c r="D18" s="17" t="n">
        <f aca="false">IF($B$20=0,0,B18/$B$20)</f>
        <v>0.1</v>
      </c>
      <c r="E18" s="3"/>
      <c r="F18" s="3"/>
      <c r="G18" s="6" t="s">
        <v>330</v>
      </c>
      <c r="H18" s="10" t="n">
        <f aca="false">SUMPRODUCT((TEXT('Trade Database'!$B$5:$B$104,"MMM-YYYY")=G18)*('Trade Database'!$N$5:$N$104="Break"))</f>
        <v>1</v>
      </c>
      <c r="I18" s="6" t="n">
        <f aca="false">SUMPRODUCT((TEXT('Trade Database'!$B$5:$B$104,"MMM-YYYY")=G18)*1)</f>
        <v>14</v>
      </c>
      <c r="J18" s="17" t="n">
        <f aca="false">IF(I18=0,0,H18/I18)</f>
        <v>0.0714285714285714</v>
      </c>
    </row>
    <row r="19" customFormat="false" ht="15" hidden="false" customHeight="true" outlineLevel="0" collapsed="false">
      <c r="A19" s="6" t="s">
        <v>179</v>
      </c>
      <c r="B19" s="10" t="n">
        <f aca="false">COUNTIF('Trade Database'!$O$5:$O$104,A19)</f>
        <v>1</v>
      </c>
      <c r="C19" s="8" t="n">
        <f aca="false">SUMIF('Trade Database'!$O$5:$O$104,A19,'Trade Database'!$J$5:$J$104)</f>
        <v>1009000</v>
      </c>
      <c r="D19" s="17" t="n">
        <f aca="false">IF($B$20=0,0,B19/$B$20)</f>
        <v>0.1</v>
      </c>
      <c r="E19" s="3"/>
      <c r="F19" s="3"/>
      <c r="G19" s="6" t="s">
        <v>331</v>
      </c>
      <c r="H19" s="10" t="n">
        <f aca="false">SUMPRODUCT((TEXT('Trade Database'!$B$5:$B$104,"MMM-YYYY")=G19)*('Trade Database'!$N$5:$N$104="Break"))</f>
        <v>0</v>
      </c>
      <c r="I19" s="6" t="n">
        <f aca="false">SUMPRODUCT((TEXT('Trade Database'!$B$5:$B$104,"MMM-YYYY")=G19)*1)</f>
        <v>17</v>
      </c>
      <c r="J19" s="17" t="n">
        <f aca="false">IF(I19=0,0,H19/I19)</f>
        <v>0</v>
      </c>
    </row>
    <row r="20" customFormat="false" ht="15" hidden="false" customHeight="true" outlineLevel="0" collapsed="false">
      <c r="A20" s="25" t="s">
        <v>332</v>
      </c>
      <c r="B20" s="25" t="n">
        <f aca="false">SUM(B14:B19)</f>
        <v>10</v>
      </c>
      <c r="C20" s="25" t="n">
        <f aca="false">SUM(C14:C19)</f>
        <v>7959821.16</v>
      </c>
      <c r="D20" s="26" t="n">
        <f aca="false">SUM(D14:D19)</f>
        <v>1</v>
      </c>
      <c r="E20" s="3"/>
      <c r="F20" s="3"/>
      <c r="G20" s="3"/>
      <c r="H20" s="3"/>
      <c r="I20" s="3"/>
      <c r="J20" s="3"/>
    </row>
  </sheetData>
  <conditionalFormatting sqref="B6:B15">
    <cfRule type="colorScale" priority="2">
      <colorScale>
        <cfvo type="num" val="0"/>
        <cfvo type="num" val="3"/>
        <color rgb="FF000000"/>
        <color rgb="FFEF4444"/>
      </colorScale>
    </cfRule>
  </conditionalFormatting>
  <conditionalFormatting sqref="H6:H9">
    <cfRule type="colorScale" priority="3">
      <colorScale>
        <cfvo type="num" val="0"/>
        <cfvo type="num" val="5"/>
        <color rgb="FF000000"/>
        <color rgb="FFEF4444"/>
      </colorScale>
    </cfRule>
  </conditionalFormatting>
  <conditionalFormatting sqref="B14:B19">
    <cfRule type="colorScale" priority="4">
      <colorScale>
        <cfvo type="num" val="0"/>
        <cfvo type="num" val="3"/>
        <color rgb="FF000000"/>
        <color rgb="FFEF4444"/>
      </colorScale>
    </cfRule>
  </conditionalFormatting>
  <conditionalFormatting sqref="H14:H19">
    <cfRule type="colorScale" priority="5">
      <colorScale>
        <cfvo type="num" val="0"/>
        <cfvo type="num" val="3"/>
        <color rgb="FF000000"/>
        <color rgb="FFEF44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true" outlineLevel="0" collapsed="false">
      <c r="A1" s="2" t="s">
        <v>333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5" hidden="false" customHeight="true" outlineLevel="0" collapsed="false">
      <c r="A2" s="4" t="s">
        <v>334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</row>
    <row r="4" customFormat="false" ht="15" hidden="false" customHeight="true" outlineLevel="0" collapsed="false">
      <c r="A4" s="19" t="s">
        <v>335</v>
      </c>
      <c r="B4" s="3"/>
      <c r="C4" s="3"/>
      <c r="D4" s="3"/>
      <c r="E4" s="3"/>
      <c r="F4" s="3"/>
      <c r="G4" s="19" t="s">
        <v>336</v>
      </c>
      <c r="H4" s="3"/>
      <c r="I4" s="3"/>
      <c r="J4" s="3"/>
    </row>
    <row r="5" customFormat="false" ht="15" hidden="false" customHeight="true" outlineLevel="0" collapsed="false">
      <c r="A5" s="20" t="s">
        <v>212</v>
      </c>
      <c r="B5" s="20" t="s">
        <v>337</v>
      </c>
      <c r="C5" s="20" t="s">
        <v>338</v>
      </c>
      <c r="D5" s="20" t="s">
        <v>339</v>
      </c>
      <c r="E5" s="20" t="s">
        <v>340</v>
      </c>
      <c r="F5" s="3"/>
      <c r="G5" s="20" t="s">
        <v>341</v>
      </c>
      <c r="H5" s="20" t="s">
        <v>323</v>
      </c>
      <c r="I5" s="20" t="s">
        <v>342</v>
      </c>
      <c r="J5" s="20" t="s">
        <v>343</v>
      </c>
    </row>
    <row r="6" customFormat="false" ht="15" hidden="false" customHeight="true" outlineLevel="0" collapsed="false">
      <c r="A6" s="27" t="s">
        <v>164</v>
      </c>
      <c r="B6" s="27" t="s">
        <v>344</v>
      </c>
      <c r="C6" s="27" t="s">
        <v>345</v>
      </c>
      <c r="D6" s="27" t="s">
        <v>346</v>
      </c>
      <c r="E6" s="27" t="s">
        <v>347</v>
      </c>
      <c r="F6" s="3"/>
      <c r="G6" s="6" t="s">
        <v>338</v>
      </c>
      <c r="H6" s="6" t="n">
        <f aca="false">COUNTIFS('Trade Database'!$N$5:$N$104,"Settled")+COUNTIFS('Trade Database'!$N$5:$N$104,"In Progress",'Trade Database'!$P$5:$P$104,"&lt;=1")</f>
        <v>75</v>
      </c>
      <c r="I6" s="17" t="n">
        <f aca="false">H6/100</f>
        <v>0.75</v>
      </c>
      <c r="J6" s="28" t="str">
        <f aca="false">IF(I6&gt;=0.8,"GOOD","REVIEW")</f>
        <v>REVIEW</v>
      </c>
    </row>
    <row r="7" customFormat="false" ht="15" hidden="false" customHeight="true" outlineLevel="0" collapsed="false">
      <c r="A7" s="27" t="s">
        <v>70</v>
      </c>
      <c r="B7" s="27" t="s">
        <v>348</v>
      </c>
      <c r="C7" s="27" t="s">
        <v>345</v>
      </c>
      <c r="D7" s="27" t="s">
        <v>346</v>
      </c>
      <c r="E7" s="27" t="s">
        <v>347</v>
      </c>
      <c r="F7" s="3"/>
      <c r="G7" s="6" t="s">
        <v>339</v>
      </c>
      <c r="H7" s="6" t="n">
        <f aca="false">COUNTIFS('Trade Database'!$N$5:$N$104,"In Progress",'Trade Database'!$P$5:$P$104,"&gt;1",'Trade Database'!$P$5:$P$104,"&lt;=2")</f>
        <v>0</v>
      </c>
      <c r="I7" s="17" t="n">
        <f aca="false">H7/100</f>
        <v>0</v>
      </c>
      <c r="J7" s="28" t="str">
        <f aca="false">IF(I7&lt;=0.15,"ACCEPTABLE","ELEVATED")</f>
        <v>ACCEPTABLE</v>
      </c>
    </row>
    <row r="8" customFormat="false" ht="15" hidden="false" customHeight="true" outlineLevel="0" collapsed="false">
      <c r="A8" s="27" t="s">
        <v>95</v>
      </c>
      <c r="B8" s="27" t="s">
        <v>349</v>
      </c>
      <c r="C8" s="27" t="s">
        <v>345</v>
      </c>
      <c r="D8" s="27" t="s">
        <v>346</v>
      </c>
      <c r="E8" s="27" t="s">
        <v>347</v>
      </c>
      <c r="F8" s="3"/>
      <c r="G8" s="6" t="s">
        <v>340</v>
      </c>
      <c r="H8" s="6" t="n">
        <f aca="false">COUNTIFS('Trade Database'!$N$5:$N$104,"Break")+COUNTIFS('Trade Database'!$N$5:$N$104,"In Progress",'Trade Database'!$P$5:$P$104,"&gt;2")</f>
        <v>25</v>
      </c>
      <c r="I8" s="17" t="n">
        <f aca="false">H8/100</f>
        <v>0.25</v>
      </c>
      <c r="J8" s="28" t="str">
        <f aca="false">IF(I8&lt;=0.05,"GOOD","CRITICAL")</f>
        <v>CRITICAL</v>
      </c>
    </row>
    <row r="9" customFormat="false" ht="15" hidden="false" customHeight="true" outlineLevel="0" collapsed="false">
      <c r="A9" s="27" t="s">
        <v>167</v>
      </c>
      <c r="B9" s="27" t="s">
        <v>350</v>
      </c>
      <c r="C9" s="27" t="s">
        <v>345</v>
      </c>
      <c r="D9" s="27" t="s">
        <v>346</v>
      </c>
      <c r="E9" s="27" t="s">
        <v>347</v>
      </c>
      <c r="F9" s="3"/>
      <c r="G9" s="6" t="s">
        <v>351</v>
      </c>
      <c r="H9" s="6" t="n">
        <f aca="false">SUM(H6:H8)</f>
        <v>100</v>
      </c>
      <c r="I9" s="17" t="n">
        <f aca="false">SUM(I6:I8)</f>
        <v>1</v>
      </c>
      <c r="J9" s="29"/>
    </row>
    <row r="10" customFormat="false" ht="15" hidden="false" customHeight="true" outlineLevel="0" collapsed="false">
      <c r="A10" s="27" t="s">
        <v>145</v>
      </c>
      <c r="B10" s="27" t="s">
        <v>352</v>
      </c>
      <c r="C10" s="27" t="s">
        <v>345</v>
      </c>
      <c r="D10" s="27" t="s">
        <v>346</v>
      </c>
      <c r="E10" s="27" t="s">
        <v>347</v>
      </c>
      <c r="F10" s="3"/>
      <c r="G10" s="3"/>
      <c r="H10" s="3"/>
      <c r="I10" s="3"/>
      <c r="J10" s="3"/>
    </row>
    <row r="11" customFormat="false" ht="15" hidden="false" customHeight="true" outlineLevel="0" collapsed="false">
      <c r="A11" s="27" t="s">
        <v>42</v>
      </c>
      <c r="B11" s="27" t="s">
        <v>353</v>
      </c>
      <c r="C11" s="27" t="s">
        <v>345</v>
      </c>
      <c r="D11" s="27" t="s">
        <v>346</v>
      </c>
      <c r="E11" s="27" t="s">
        <v>347</v>
      </c>
      <c r="F11" s="3"/>
      <c r="G11" s="3"/>
      <c r="H11" s="3"/>
      <c r="I11" s="3"/>
      <c r="J11" s="3"/>
    </row>
    <row r="12" customFormat="false" ht="15" hidden="false" customHeight="true" outlineLevel="0" collapsed="false">
      <c r="A12" s="30" t="s">
        <v>354</v>
      </c>
      <c r="B12" s="27" t="s">
        <v>355</v>
      </c>
      <c r="C12" s="27" t="s">
        <v>356</v>
      </c>
      <c r="D12" s="27" t="s">
        <v>357</v>
      </c>
      <c r="E12" s="27" t="s">
        <v>358</v>
      </c>
      <c r="F12" s="3"/>
      <c r="G12" s="3"/>
      <c r="H12" s="3"/>
      <c r="I12" s="3"/>
      <c r="J12" s="3"/>
    </row>
    <row r="13" customFormat="false" ht="15" hidden="false" customHeight="true" outlineLevel="0" collapsed="false">
      <c r="A13" s="31" t="s">
        <v>212</v>
      </c>
      <c r="B13" s="31" t="s">
        <v>359</v>
      </c>
      <c r="C13" s="31" t="s">
        <v>338</v>
      </c>
      <c r="D13" s="31" t="s">
        <v>339</v>
      </c>
      <c r="E13" s="31" t="s">
        <v>340</v>
      </c>
      <c r="F13" s="3"/>
      <c r="G13" s="3"/>
      <c r="H13" s="3"/>
      <c r="I13" s="3"/>
      <c r="J13" s="3"/>
    </row>
    <row r="14" customFormat="false" ht="15" hidden="false" customHeight="true" outlineLevel="0" collapsed="false">
      <c r="A14" s="6" t="s">
        <v>164</v>
      </c>
      <c r="B14" s="6" t="n">
        <f aca="false">COUNTIF('Trade Database'!$M$5:$M$104,A14)</f>
        <v>5</v>
      </c>
      <c r="C14" s="6" t="n">
        <f aca="false">COUNTIFS('Trade Database'!$M$5:$M$104,A14,'Trade Database'!$P$5:$P$104,"&lt;=1")</f>
        <v>0</v>
      </c>
      <c r="D14" s="6" t="n">
        <f aca="false">COUNTIFS('Trade Database'!$M$5:$M$104,A14,'Trade Database'!$P$5:$P$104,"&gt;1",'Trade Database'!$P$5:$P$104,"&lt;=2")</f>
        <v>0</v>
      </c>
      <c r="E14" s="6" t="n">
        <f aca="false">COUNTIFS('Trade Database'!$M$5:$M$104,A14,'Trade Database'!$P$5:$P$104,"&gt;2")</f>
        <v>5</v>
      </c>
      <c r="F14" s="3"/>
      <c r="G14" s="3"/>
      <c r="H14" s="3"/>
      <c r="I14" s="3"/>
      <c r="J14" s="3"/>
    </row>
    <row r="15" customFormat="false" ht="15" hidden="false" customHeight="true" outlineLevel="0" collapsed="false">
      <c r="A15" s="6" t="s">
        <v>70</v>
      </c>
      <c r="B15" s="6" t="n">
        <f aca="false">COUNTIF('Trade Database'!$M$5:$M$104,A15)</f>
        <v>3</v>
      </c>
      <c r="C15" s="6" t="n">
        <f aca="false">COUNTIFS('Trade Database'!$M$5:$M$104,A15,'Trade Database'!$P$5:$P$104,"&lt;=1")</f>
        <v>0</v>
      </c>
      <c r="D15" s="6" t="n">
        <f aca="false">COUNTIFS('Trade Database'!$M$5:$M$104,A15,'Trade Database'!$P$5:$P$104,"&gt;1",'Trade Database'!$P$5:$P$104,"&lt;=2")</f>
        <v>0</v>
      </c>
      <c r="E15" s="6" t="n">
        <f aca="false">COUNTIFS('Trade Database'!$M$5:$M$104,A15,'Trade Database'!$P$5:$P$104,"&gt;2")</f>
        <v>3</v>
      </c>
      <c r="F15" s="3"/>
      <c r="G15" s="3"/>
      <c r="H15" s="3"/>
      <c r="I15" s="3"/>
      <c r="J15" s="3"/>
    </row>
    <row r="16" customFormat="false" ht="15" hidden="false" customHeight="true" outlineLevel="0" collapsed="false">
      <c r="A16" s="6" t="s">
        <v>95</v>
      </c>
      <c r="B16" s="6" t="n">
        <f aca="false">COUNTIF('Trade Database'!$M$5:$M$104,A16)</f>
        <v>2</v>
      </c>
      <c r="C16" s="6" t="n">
        <f aca="false">COUNTIFS('Trade Database'!$M$5:$M$104,A16,'Trade Database'!$P$5:$P$104,"&lt;=1")</f>
        <v>0</v>
      </c>
      <c r="D16" s="6" t="n">
        <f aca="false">COUNTIFS('Trade Database'!$M$5:$M$104,A16,'Trade Database'!$P$5:$P$104,"&gt;1",'Trade Database'!$P$5:$P$104,"&lt;=2")</f>
        <v>0</v>
      </c>
      <c r="E16" s="6" t="n">
        <f aca="false">COUNTIFS('Trade Database'!$M$5:$M$104,A16,'Trade Database'!$P$5:$P$104,"&gt;2")</f>
        <v>2</v>
      </c>
      <c r="F16" s="3"/>
      <c r="G16" s="3"/>
      <c r="H16" s="3"/>
      <c r="I16" s="3"/>
      <c r="J16" s="3"/>
    </row>
    <row r="17" customFormat="false" ht="15" hidden="false" customHeight="true" outlineLevel="0" collapsed="false">
      <c r="A17" s="6" t="s">
        <v>167</v>
      </c>
      <c r="B17" s="6" t="n">
        <f aca="false">COUNTIF('Trade Database'!$M$5:$M$104,A17)</f>
        <v>1</v>
      </c>
      <c r="C17" s="6" t="n">
        <f aca="false">COUNTIFS('Trade Database'!$M$5:$M$104,A17,'Trade Database'!$P$5:$P$104,"&lt;=1")</f>
        <v>0</v>
      </c>
      <c r="D17" s="6" t="n">
        <f aca="false">COUNTIFS('Trade Database'!$M$5:$M$104,A17,'Trade Database'!$P$5:$P$104,"&gt;1",'Trade Database'!$P$5:$P$104,"&lt;=2")</f>
        <v>0</v>
      </c>
      <c r="E17" s="6" t="n">
        <f aca="false">COUNTIFS('Trade Database'!$M$5:$M$104,A17,'Trade Database'!$P$5:$P$104,"&gt;2")</f>
        <v>1</v>
      </c>
      <c r="F17" s="3"/>
      <c r="G17" s="3"/>
      <c r="H17" s="3"/>
      <c r="I17" s="3"/>
      <c r="J17" s="3"/>
    </row>
    <row r="18" customFormat="false" ht="15" hidden="false" customHeight="true" outlineLevel="0" collapsed="false">
      <c r="A18" s="6" t="s">
        <v>145</v>
      </c>
      <c r="B18" s="6" t="n">
        <f aca="false">COUNTIF('Trade Database'!$M$5:$M$104,A18)</f>
        <v>3</v>
      </c>
      <c r="C18" s="6" t="n">
        <f aca="false">COUNTIFS('Trade Database'!$M$5:$M$104,A18,'Trade Database'!$P$5:$P$104,"&lt;=1")</f>
        <v>0</v>
      </c>
      <c r="D18" s="6" t="n">
        <f aca="false">COUNTIFS('Trade Database'!$M$5:$M$104,A18,'Trade Database'!$P$5:$P$104,"&gt;1",'Trade Database'!$P$5:$P$104,"&lt;=2")</f>
        <v>0</v>
      </c>
      <c r="E18" s="6" t="n">
        <f aca="false">COUNTIFS('Trade Database'!$M$5:$M$104,A18,'Trade Database'!$P$5:$P$104,"&gt;2")</f>
        <v>3</v>
      </c>
      <c r="F18" s="3"/>
      <c r="G18" s="3"/>
      <c r="H18" s="3"/>
      <c r="I18" s="3"/>
      <c r="J18" s="3"/>
    </row>
    <row r="19" customFormat="false" ht="15" hidden="false" customHeight="true" outlineLevel="0" collapsed="false">
      <c r="A19" s="6" t="s">
        <v>42</v>
      </c>
      <c r="B19" s="6" t="n">
        <f aca="false">COUNTIF('Trade Database'!$M$5:$M$104,A19)</f>
        <v>8</v>
      </c>
      <c r="C19" s="6" t="n">
        <f aca="false">COUNTIFS('Trade Database'!$M$5:$M$104,A19,'Trade Database'!$P$5:$P$104,"&lt;=1")</f>
        <v>0</v>
      </c>
      <c r="D19" s="6" t="n">
        <f aca="false">COUNTIFS('Trade Database'!$M$5:$M$104,A19,'Trade Database'!$P$5:$P$104,"&gt;1",'Trade Database'!$P$5:$P$104,"&lt;=2")</f>
        <v>0</v>
      </c>
      <c r="E19" s="6" t="n">
        <f aca="false">COUNTIFS('Trade Database'!$M$5:$M$104,A19,'Trade Database'!$P$5:$P$104,"&gt;2")</f>
        <v>8</v>
      </c>
      <c r="F19" s="3"/>
      <c r="G19" s="3"/>
      <c r="H19" s="3"/>
      <c r="I19" s="3"/>
      <c r="J19" s="3"/>
    </row>
    <row r="20" customFormat="false" ht="15" hidden="false" customHeight="true" outlineLevel="0" collapsed="false">
      <c r="A20" s="6" t="s">
        <v>360</v>
      </c>
      <c r="B20" s="6" t="n">
        <f aca="false">COUNTIF('Trade Database'!$M$5:$M$104,A20)</f>
        <v>0</v>
      </c>
      <c r="C20" s="6" t="n">
        <f aca="false">COUNTIFS('Trade Database'!$M$5:$M$104,A20,'Trade Database'!$P$5:$P$104,"&lt;=1")</f>
        <v>0</v>
      </c>
      <c r="D20" s="6" t="n">
        <f aca="false">COUNTIFS('Trade Database'!$M$5:$M$104,A20,'Trade Database'!$P$5:$P$104,"&gt;1",'Trade Database'!$P$5:$P$104,"&lt;=2")</f>
        <v>0</v>
      </c>
      <c r="E20" s="6" t="n">
        <f aca="false">COUNTIFS('Trade Database'!$M$5:$M$104,A20,'Trade Database'!$P$5:$P$104,"&gt;2")</f>
        <v>0</v>
      </c>
      <c r="F20" s="3"/>
      <c r="G20" s="3"/>
      <c r="H20" s="3"/>
      <c r="I20" s="3"/>
      <c r="J20" s="3"/>
    </row>
    <row r="21" customFormat="false" ht="15" hidden="false" customHeight="true" outlineLevel="0" collapsed="false">
      <c r="A21" s="6" t="s">
        <v>30</v>
      </c>
      <c r="B21" s="6" t="n">
        <f aca="false">COUNTIF('Trade Database'!$M$5:$M$104,A21)</f>
        <v>78</v>
      </c>
      <c r="C21" s="6" t="n">
        <f aca="false">COUNTIFS('Trade Database'!$M$5:$M$104,A21,'Trade Database'!$P$5:$P$104,"&lt;=1")</f>
        <v>0</v>
      </c>
      <c r="D21" s="6" t="n">
        <f aca="false">COUNTIFS('Trade Database'!$M$5:$M$104,A21,'Trade Database'!$P$5:$P$104,"&gt;1",'Trade Database'!$P$5:$P$104,"&lt;=2")</f>
        <v>0</v>
      </c>
      <c r="E21" s="6" t="n">
        <f aca="false">COUNTIFS('Trade Database'!$M$5:$M$104,A21,'Trade Database'!$P$5:$P$104,"&gt;2")</f>
        <v>78</v>
      </c>
      <c r="F21" s="3"/>
      <c r="G21" s="3"/>
      <c r="H21" s="3"/>
      <c r="I21" s="3"/>
      <c r="J21" s="3"/>
    </row>
  </sheetData>
  <conditionalFormatting sqref="J6:J8">
    <cfRule type="expression" priority="2" aboveAverage="0" equalAverage="0" bottom="0" percent="0" rank="0" text="" dxfId="4">
      <formula>ISNUMBER(SEARCH("GOOD",J6))</formula>
    </cfRule>
    <cfRule type="expression" priority="3" aboveAverage="0" equalAverage="0" bottom="0" percent="0" rank="0" text="" dxfId="5">
      <formula>ISNUMBER(SEARCH("REVIEW",J6))</formula>
    </cfRule>
    <cfRule type="expression" priority="4" aboveAverage="0" equalAverage="0" bottom="0" percent="0" rank="0" text="" dxfId="5">
      <formula>ISNUMBER(SEARCH("ELEVATED",J6))</formula>
    </cfRule>
    <cfRule type="expression" priority="5" aboveAverage="0" equalAverage="0" bottom="0" percent="0" rank="0" text="" dxfId="3">
      <formula>ISNUMBER(SEARCH("CRITICAL",J6))</formula>
    </cfRule>
  </conditionalFormatting>
  <conditionalFormatting sqref="E14:E21">
    <cfRule type="colorScale" priority="6">
      <colorScale>
        <cfvo type="num" val="0"/>
        <cfvo type="num" val="3"/>
        <color rgb="FF000000"/>
        <color rgb="FFEF4444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5" min="1" style="1" width="18"/>
    <col collapsed="false" customWidth="true" hidden="true" outlineLevel="0" max="30" min="16" style="1" width="13"/>
  </cols>
  <sheetData>
    <row r="1" customFormat="false" ht="15" hidden="false" customHeight="true" outlineLevel="0" collapsed="false">
      <c r="A1" s="32" t="s">
        <v>361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customFormat="false" ht="15" hidden="false" customHeight="true" outlineLevel="0" collapsed="false">
      <c r="A2" s="4" t="s">
        <v>362</v>
      </c>
      <c r="B2" s="3"/>
      <c r="C2" s="3"/>
      <c r="D2" s="3"/>
      <c r="E2" s="3"/>
      <c r="F2" s="3"/>
      <c r="G2" s="3"/>
      <c r="H2" s="3"/>
      <c r="I2" s="3"/>
      <c r="J2" s="3"/>
      <c r="K2" s="3"/>
      <c r="L2" s="33" t="n">
        <f aca="false">Config!$B$1</f>
        <v>46181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customFormat="false" ht="15" hidden="false" customHeight="true" outlineLevel="0" collapsed="false">
      <c r="A4" s="34" t="s">
        <v>306</v>
      </c>
      <c r="B4" s="35"/>
      <c r="C4" s="35"/>
      <c r="D4" s="35"/>
      <c r="E4" s="3"/>
      <c r="F4" s="34" t="s">
        <v>307</v>
      </c>
      <c r="G4" s="35"/>
      <c r="H4" s="35"/>
      <c r="I4" s="35"/>
      <c r="J4" s="3"/>
      <c r="K4" s="34" t="s">
        <v>363</v>
      </c>
      <c r="L4" s="35"/>
      <c r="M4" s="35"/>
      <c r="N4" s="35"/>
      <c r="O4" s="3"/>
      <c r="P4" s="3" t="s">
        <v>5</v>
      </c>
      <c r="Q4" s="3" t="s">
        <v>323</v>
      </c>
      <c r="R4" s="3"/>
      <c r="S4" s="3" t="s">
        <v>12</v>
      </c>
      <c r="T4" s="3" t="s">
        <v>323</v>
      </c>
      <c r="U4" s="3"/>
      <c r="V4" s="3" t="s">
        <v>16</v>
      </c>
      <c r="W4" s="3" t="s">
        <v>323</v>
      </c>
      <c r="X4" s="3"/>
      <c r="Y4" s="3" t="s">
        <v>325</v>
      </c>
      <c r="Z4" s="3" t="s">
        <v>359</v>
      </c>
      <c r="AA4" s="3" t="s">
        <v>31</v>
      </c>
      <c r="AB4" s="3"/>
      <c r="AC4" s="3" t="s">
        <v>325</v>
      </c>
      <c r="AD4" s="3" t="s">
        <v>364</v>
      </c>
    </row>
    <row r="5" customFormat="false" ht="15" hidden="false" customHeight="true" outlineLevel="0" collapsed="false">
      <c r="A5" s="36" t="n">
        <f aca="false">COUNTA('Trade Database'!$A$5:$A$104)</f>
        <v>100</v>
      </c>
      <c r="B5" s="35"/>
      <c r="C5" s="35"/>
      <c r="D5" s="35"/>
      <c r="E5" s="3"/>
      <c r="F5" s="36" t="n">
        <f aca="false">COUNTIF('Trade Database'!$N$5:$N$104,"Settled")</f>
        <v>75</v>
      </c>
      <c r="G5" s="35"/>
      <c r="H5" s="35"/>
      <c r="I5" s="35"/>
      <c r="J5" s="3"/>
      <c r="K5" s="36" t="n">
        <f aca="false">COUNTIFS('Trade Database'!$N$5:$N$104,"&lt;&gt;Settled",'Trade Database'!$N$5:$N$104,"&lt;&gt;Break")</f>
        <v>15</v>
      </c>
      <c r="L5" s="35"/>
      <c r="M5" s="35"/>
      <c r="N5" s="35"/>
      <c r="O5" s="3"/>
      <c r="P5" s="3" t="s">
        <v>24</v>
      </c>
      <c r="Q5" s="3" t="n">
        <f aca="false">COUNTIF('Trade Database'!$D$5:$D$104,P5)</f>
        <v>40</v>
      </c>
      <c r="R5" s="3"/>
      <c r="S5" s="3" t="s">
        <v>28</v>
      </c>
      <c r="T5" s="3" t="n">
        <f aca="false">COUNTIF('Trade Database'!$K$5:$K$104,S5)</f>
        <v>11</v>
      </c>
      <c r="U5" s="3"/>
      <c r="V5" s="3" t="s">
        <v>44</v>
      </c>
      <c r="W5" s="3" t="n">
        <f aca="false">COUNTIF('Trade Database'!$O$5:$O$104,V5)</f>
        <v>3</v>
      </c>
      <c r="X5" s="3"/>
      <c r="Y5" s="3" t="s">
        <v>365</v>
      </c>
      <c r="Z5" s="3" t="n">
        <f aca="false">SUMPRODUCT((MONTH('Trade Database'!$B$5:$B$104)=1)*1)</f>
        <v>15</v>
      </c>
      <c r="AA5" s="3" t="n">
        <f aca="false">SUMPRODUCT((MONTH('Trade Database'!$B$5:$B$104)=1)*('Trade Database'!$N$5:$N$104="Settled"))</f>
        <v>9</v>
      </c>
      <c r="AB5" s="3"/>
      <c r="AC5" s="3" t="s">
        <v>365</v>
      </c>
      <c r="AD5" s="37" t="n">
        <f aca="false">IF(AG5=0,0,AH5/AG5)</f>
        <v>0</v>
      </c>
    </row>
    <row r="6" customFormat="false" ht="15" hidden="false" customHeight="true" outlineLevel="0" collapsed="false">
      <c r="A6" s="38"/>
      <c r="B6" s="35"/>
      <c r="C6" s="35"/>
      <c r="D6" s="35"/>
      <c r="E6" s="3"/>
      <c r="F6" s="38"/>
      <c r="G6" s="35"/>
      <c r="H6" s="35"/>
      <c r="I6" s="35"/>
      <c r="J6" s="3"/>
      <c r="K6" s="38"/>
      <c r="L6" s="35"/>
      <c r="M6" s="35"/>
      <c r="N6" s="35"/>
      <c r="O6" s="3"/>
      <c r="P6" s="3" t="s">
        <v>37</v>
      </c>
      <c r="Q6" s="3" t="n">
        <f aca="false">COUNTIF('Trade Database'!$D$5:$D$104,P6)</f>
        <v>25</v>
      </c>
      <c r="R6" s="3"/>
      <c r="S6" s="3" t="s">
        <v>52</v>
      </c>
      <c r="T6" s="3" t="n">
        <f aca="false">COUNTIF('Trade Database'!$K$5:$K$104,S6)</f>
        <v>12</v>
      </c>
      <c r="U6" s="3"/>
      <c r="V6" s="3" t="s">
        <v>125</v>
      </c>
      <c r="W6" s="3" t="n">
        <f aca="false">COUNTIF('Trade Database'!$O$5:$O$104,V6)</f>
        <v>2</v>
      </c>
      <c r="X6" s="3"/>
      <c r="Y6" s="3" t="s">
        <v>366</v>
      </c>
      <c r="Z6" s="3" t="n">
        <f aca="false">SUMPRODUCT((MONTH('Trade Database'!$B$5:$B$104)=2)*1)</f>
        <v>20</v>
      </c>
      <c r="AA6" s="3" t="n">
        <f aca="false">SUMPRODUCT((MONTH('Trade Database'!$B$5:$B$104)=2)*('Trade Database'!$N$5:$N$104="Settled"))</f>
        <v>15</v>
      </c>
      <c r="AB6" s="3"/>
      <c r="AC6" s="3" t="s">
        <v>366</v>
      </c>
      <c r="AD6" s="37" t="n">
        <f aca="false">IF(AG6=0,0,AH6/AG6)</f>
        <v>0</v>
      </c>
    </row>
    <row r="7" customFormat="false" ht="15" hidden="false" customHeight="true" outlineLevel="0" collapsed="false">
      <c r="A7" s="38"/>
      <c r="B7" s="35"/>
      <c r="C7" s="35"/>
      <c r="D7" s="35"/>
      <c r="E7" s="3"/>
      <c r="F7" s="38"/>
      <c r="G7" s="35"/>
      <c r="H7" s="35"/>
      <c r="I7" s="35"/>
      <c r="J7" s="3"/>
      <c r="K7" s="38"/>
      <c r="L7" s="35"/>
      <c r="M7" s="35"/>
      <c r="N7" s="35"/>
      <c r="O7" s="3"/>
      <c r="P7" s="3" t="s">
        <v>86</v>
      </c>
      <c r="Q7" s="3" t="n">
        <f aca="false">COUNTIF('Trade Database'!$D$5:$D$104,P7)</f>
        <v>20</v>
      </c>
      <c r="R7" s="3"/>
      <c r="S7" s="3" t="s">
        <v>62</v>
      </c>
      <c r="T7" s="3" t="n">
        <f aca="false">COUNTIF('Trade Database'!$K$5:$K$104,S7)</f>
        <v>7</v>
      </c>
      <c r="U7" s="3"/>
      <c r="V7" s="3" t="s">
        <v>146</v>
      </c>
      <c r="W7" s="3" t="n">
        <f aca="false">COUNTIF('Trade Database'!$O$5:$O$104,V7)</f>
        <v>2</v>
      </c>
      <c r="X7" s="3"/>
      <c r="Y7" s="3" t="s">
        <v>367</v>
      </c>
      <c r="Z7" s="3" t="n">
        <f aca="false">SUMPRODUCT((MONTH('Trade Database'!$B$5:$B$104)=3)*1)</f>
        <v>16</v>
      </c>
      <c r="AA7" s="3" t="n">
        <f aca="false">SUMPRODUCT((MONTH('Trade Database'!$B$5:$B$104)=3)*('Trade Database'!$N$5:$N$104="Settled"))</f>
        <v>11</v>
      </c>
      <c r="AB7" s="3"/>
      <c r="AC7" s="3" t="s">
        <v>367</v>
      </c>
      <c r="AD7" s="37" t="n">
        <f aca="false">IF(AG7=0,0,AH7/AG7)</f>
        <v>0</v>
      </c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 t="s">
        <v>67</v>
      </c>
      <c r="Q8" s="3" t="n">
        <f aca="false">COUNTIF('Trade Database'!$D$5:$D$104,P8)</f>
        <v>15</v>
      </c>
      <c r="R8" s="3"/>
      <c r="S8" s="3" t="s">
        <v>40</v>
      </c>
      <c r="T8" s="3" t="n">
        <f aca="false">COUNTIF('Trade Database'!$K$5:$K$104,S8)</f>
        <v>10</v>
      </c>
      <c r="U8" s="3"/>
      <c r="V8" s="3" t="s">
        <v>172</v>
      </c>
      <c r="W8" s="3" t="n">
        <f aca="false">COUNTIF('Trade Database'!$O$5:$O$104,V8)</f>
        <v>1</v>
      </c>
      <c r="X8" s="3"/>
      <c r="Y8" s="3" t="s">
        <v>368</v>
      </c>
      <c r="Z8" s="3" t="n">
        <f aca="false">SUMPRODUCT((MONTH('Trade Database'!$B$5:$B$104)=4)*1)</f>
        <v>18</v>
      </c>
      <c r="AA8" s="3" t="n">
        <f aca="false">SUMPRODUCT((MONTH('Trade Database'!$B$5:$B$104)=4)*('Trade Database'!$N$5:$N$104="Settled"))</f>
        <v>14</v>
      </c>
      <c r="AB8" s="3"/>
      <c r="AC8" s="3" t="s">
        <v>368</v>
      </c>
      <c r="AD8" s="37" t="n">
        <f aca="false">IF(AG8=0,0,AH8/AG8)</f>
        <v>0</v>
      </c>
    </row>
    <row r="9" customFormat="false" ht="15" hidden="false" customHeight="true" outlineLevel="0" collapsed="false">
      <c r="A9" s="34" t="s">
        <v>308</v>
      </c>
      <c r="B9" s="35"/>
      <c r="C9" s="35"/>
      <c r="D9" s="35"/>
      <c r="E9" s="3"/>
      <c r="F9" s="34" t="s">
        <v>369</v>
      </c>
      <c r="G9" s="35"/>
      <c r="H9" s="35"/>
      <c r="I9" s="35"/>
      <c r="J9" s="3"/>
      <c r="K9" s="34" t="s">
        <v>370</v>
      </c>
      <c r="L9" s="35"/>
      <c r="M9" s="35"/>
      <c r="N9" s="35"/>
      <c r="O9" s="3"/>
      <c r="P9" s="3"/>
      <c r="Q9" s="3"/>
      <c r="R9" s="3"/>
      <c r="S9" s="3" t="s">
        <v>35</v>
      </c>
      <c r="T9" s="3" t="n">
        <f aca="false">COUNTIF('Trade Database'!$K$5:$K$104,S9)</f>
        <v>8</v>
      </c>
      <c r="U9" s="3"/>
      <c r="V9" s="3" t="s">
        <v>176</v>
      </c>
      <c r="W9" s="3" t="n">
        <f aca="false">COUNTIF('Trade Database'!$O$5:$O$104,V9)</f>
        <v>1</v>
      </c>
      <c r="X9" s="3"/>
      <c r="Y9" s="3" t="s">
        <v>371</v>
      </c>
      <c r="Z9" s="3" t="n">
        <f aca="false">SUMPRODUCT((MONTH('Trade Database'!$B$5:$B$104)=5)*1)</f>
        <v>14</v>
      </c>
      <c r="AA9" s="3" t="n">
        <f aca="false">SUMPRODUCT((MONTH('Trade Database'!$B$5:$B$104)=5)*('Trade Database'!$N$5:$N$104="Settled"))</f>
        <v>11</v>
      </c>
      <c r="AB9" s="3"/>
      <c r="AC9" s="3" t="s">
        <v>371</v>
      </c>
      <c r="AD9" s="37" t="n">
        <f aca="false">IF(AG9=0,0,AH9/AG9)</f>
        <v>0</v>
      </c>
    </row>
    <row r="10" customFormat="false" ht="15" hidden="false" customHeight="true" outlineLevel="0" collapsed="false">
      <c r="A10" s="36" t="n">
        <f aca="false">COUNTIF('Trade Database'!$N$5:$N$104,"Break")</f>
        <v>10</v>
      </c>
      <c r="B10" s="35"/>
      <c r="C10" s="35"/>
      <c r="D10" s="35"/>
      <c r="E10" s="3"/>
      <c r="F10" s="39" t="n">
        <f aca="false">COUNTIF('Trade Database'!$N$5:$N$104,"Settled")/COUNTA('Trade Database'!$A$5:$A$104)</f>
        <v>0.75</v>
      </c>
      <c r="G10" s="35"/>
      <c r="H10" s="35"/>
      <c r="I10" s="35"/>
      <c r="J10" s="3"/>
      <c r="K10" s="39" t="n">
        <f aca="false">COUNTIF('Trade Database'!$N$5:$N$104,"Settled")/COUNTA('Trade Database'!$A$5:$A$104)</f>
        <v>0.75</v>
      </c>
      <c r="L10" s="35"/>
      <c r="M10" s="35"/>
      <c r="N10" s="35"/>
      <c r="O10" s="3"/>
      <c r="P10" s="3"/>
      <c r="Q10" s="3"/>
      <c r="R10" s="3"/>
      <c r="S10" s="3"/>
      <c r="T10" s="3"/>
      <c r="U10" s="3"/>
      <c r="V10" s="3" t="s">
        <v>179</v>
      </c>
      <c r="W10" s="3" t="n">
        <f aca="false">COUNTIF('Trade Database'!$O$5:$O$104,V10)</f>
        <v>1</v>
      </c>
      <c r="X10" s="3"/>
      <c r="Y10" s="3" t="s">
        <v>372</v>
      </c>
      <c r="Z10" s="3" t="n">
        <f aca="false">SUMPRODUCT((MONTH('Trade Database'!$B$5:$B$104)=6)*1)</f>
        <v>17</v>
      </c>
      <c r="AA10" s="3" t="n">
        <f aca="false">SUMPRODUCT((MONTH('Trade Database'!$B$5:$B$104)=6)*('Trade Database'!$N$5:$N$104="Settled"))</f>
        <v>15</v>
      </c>
      <c r="AB10" s="3"/>
      <c r="AC10" s="3" t="s">
        <v>372</v>
      </c>
      <c r="AD10" s="37" t="n">
        <f aca="false">IF(AG10=0,0,AH10/AG10)</f>
        <v>0</v>
      </c>
    </row>
    <row r="11" customFormat="false" ht="15" hidden="false" customHeight="true" outlineLevel="0" collapsed="false">
      <c r="A11" s="38"/>
      <c r="B11" s="35"/>
      <c r="C11" s="35"/>
      <c r="D11" s="35"/>
      <c r="E11" s="3"/>
      <c r="F11" s="38"/>
      <c r="G11" s="35"/>
      <c r="H11" s="35"/>
      <c r="I11" s="35"/>
      <c r="J11" s="3"/>
      <c r="K11" s="38"/>
      <c r="L11" s="35"/>
      <c r="M11" s="35"/>
      <c r="N11" s="35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customFormat="false" ht="15" hidden="false" customHeight="true" outlineLevel="0" collapsed="false">
      <c r="A12" s="38"/>
      <c r="B12" s="35"/>
      <c r="C12" s="35"/>
      <c r="D12" s="35"/>
      <c r="E12" s="3"/>
      <c r="F12" s="38"/>
      <c r="G12" s="35"/>
      <c r="H12" s="35"/>
      <c r="I12" s="35"/>
      <c r="J12" s="3"/>
      <c r="K12" s="38"/>
      <c r="L12" s="35"/>
      <c r="M12" s="35"/>
      <c r="N12" s="35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customFormat="false" ht="1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customFormat="false" ht="15" hidden="false" customHeight="true" outlineLevel="0" collapsed="false">
      <c r="A14" s="34" t="s">
        <v>373</v>
      </c>
      <c r="B14" s="35"/>
      <c r="C14" s="35"/>
      <c r="D14" s="35"/>
      <c r="E14" s="3"/>
      <c r="F14" s="34" t="s">
        <v>374</v>
      </c>
      <c r="G14" s="35"/>
      <c r="H14" s="35"/>
      <c r="I14" s="35"/>
      <c r="J14" s="3"/>
      <c r="K14" s="34" t="s">
        <v>375</v>
      </c>
      <c r="L14" s="35"/>
      <c r="M14" s="35"/>
      <c r="N14" s="35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customFormat="false" ht="15" hidden="false" customHeight="true" outlineLevel="0" collapsed="false">
      <c r="A15" s="40" t="n">
        <f aca="false">AVERAGE('Trade Database'!$P$5:$P$104)</f>
        <v>433.75</v>
      </c>
      <c r="B15" s="35"/>
      <c r="C15" s="35"/>
      <c r="D15" s="35"/>
      <c r="E15" s="3"/>
      <c r="F15" s="36" t="n">
        <f aca="false">COUNTIF('Trade Database'!$S$5:$S$104,"Red")</f>
        <v>25</v>
      </c>
      <c r="G15" s="35"/>
      <c r="H15" s="35"/>
      <c r="I15" s="35"/>
      <c r="J15" s="3"/>
      <c r="K15" s="41" t="n">
        <f aca="false">MAX(0,100-COUNTIF('Trade Database'!$N$5:$N$104,"Break")*10-COUNTIF('Trade Database'!$S$5:$S$104,"Red")*5-COUNTIFS('Trade Database'!$T$5:$T$104,"Overdue")*3)</f>
        <v>0</v>
      </c>
      <c r="L15" s="35"/>
      <c r="M15" s="35"/>
      <c r="N15" s="35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customFormat="false" ht="15" hidden="false" customHeight="true" outlineLevel="0" collapsed="false">
      <c r="A16" s="38"/>
      <c r="B16" s="35"/>
      <c r="C16" s="35"/>
      <c r="D16" s="35"/>
      <c r="E16" s="3"/>
      <c r="F16" s="38"/>
      <c r="G16" s="35"/>
      <c r="H16" s="35"/>
      <c r="I16" s="35"/>
      <c r="J16" s="3"/>
      <c r="K16" s="38"/>
      <c r="L16" s="35"/>
      <c r="M16" s="35"/>
      <c r="N16" s="35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customFormat="false" ht="15" hidden="false" customHeight="true" outlineLevel="0" collapsed="false">
      <c r="A17" s="38"/>
      <c r="B17" s="35"/>
      <c r="C17" s="35"/>
      <c r="D17" s="35"/>
      <c r="E17" s="3"/>
      <c r="F17" s="38"/>
      <c r="G17" s="35"/>
      <c r="H17" s="35"/>
      <c r="I17" s="35"/>
      <c r="J17" s="3"/>
      <c r="K17" s="38"/>
      <c r="L17" s="35"/>
      <c r="M17" s="35"/>
      <c r="N17" s="35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customFormat="false" ht="1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customFormat="false" ht="15" hidden="false" customHeight="true" outlineLevel="0" collapsed="false">
      <c r="A19" s="19" t="s">
        <v>376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customFormat="false" ht="15" hidden="false" customHeight="true" outlineLevel="0" collapsed="false">
      <c r="A20" s="42" t="s">
        <v>12</v>
      </c>
      <c r="B20" s="3"/>
      <c r="C20" s="42" t="s">
        <v>5</v>
      </c>
      <c r="D20" s="3"/>
      <c r="E20" s="42" t="s">
        <v>343</v>
      </c>
      <c r="F20" s="3"/>
      <c r="G20" s="42" t="s">
        <v>16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customFormat="false" ht="15" hidden="false" customHeight="true" outlineLevel="0" collapsed="false">
      <c r="A21" s="43" t="s">
        <v>377</v>
      </c>
      <c r="B21" s="3"/>
      <c r="C21" s="43" t="s">
        <v>378</v>
      </c>
      <c r="D21" s="3"/>
      <c r="E21" s="43" t="s">
        <v>379</v>
      </c>
      <c r="F21" s="3"/>
      <c r="G21" s="43" t="s">
        <v>380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customFormat="false" ht="1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customFormat="false" ht="1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customFormat="false" ht="1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customFormat="false" ht="1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customFormat="false" ht="1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customFormat="false" ht="1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customFormat="false" ht="1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customFormat="false" ht="1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customFormat="false" ht="1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customFormat="false" ht="1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customFormat="false" ht="1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customFormat="false" ht="1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customFormat="false" ht="1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customFormat="false" ht="1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customFormat="false" ht="1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customFormat="false" ht="1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customFormat="false" ht="1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customFormat="false" ht="1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customFormat="false" ht="1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customFormat="false" ht="1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customFormat="false" ht="1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customFormat="false" ht="1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customFormat="false" ht="1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customFormat="false" ht="1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customFormat="false" ht="1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customFormat="false" ht="1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customFormat="false" ht="1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2026-06-08T17:49:27Z</dcterms:created>
  <dc:creator>openpyxl</dc:creator>
  <dc:description/>
  <dc:language>en-US</dc:language>
  <cp:lastModifiedBy/>
  <dcterms:modified xsi:type="dcterms:W3CDTF">2026-06-08T17:52:07Z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